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53094a756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Summary" sheetId="1" r:id="R1c70686a8d804eb5"/>
    <x:sheet xmlns:r="http://schemas.openxmlformats.org/officeDocument/2006/relationships" name="Quartus Matrix" sheetId="2" r:id="R8e8a0f8cc9544670"/>
    <x:sheet xmlns:r="http://schemas.openxmlformats.org/officeDocument/2006/relationships" name="Regression Matrix" sheetId="3" r:id="R46b87e5ecfe742d9"/>
    <x:sheet xmlns:r="http://schemas.openxmlformats.org/officeDocument/2006/relationships" name="Resource Summary" sheetId="4" r:id="Rd206c8bd87274644"/>
    <x:sheet xmlns:r="http://schemas.openxmlformats.org/officeDocument/2006/relationships" name="Variant Guide" sheetId="5" r:id="Re629f6ba0bb94b3c"/>
    <x:sheet xmlns:r="http://schemas.openxmlformats.org/officeDocument/2006/relationships" name="Timing Notes" sheetId="6" r:id="R30d1e8bdc7a046e0"/>
    <x:sheet xmlns:r="http://schemas.openxmlformats.org/officeDocument/2006/relationships" name="Source Inventory" sheetId="7" r:id="Rb4c9d6fb4440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%"/>
    <x:numFmt numFmtId="202" formatCode="@"/>
  </x:numFmts>
  <x:fonts count="1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0"/>
      <x:color rgb="FF1F2933"/>
      <x:name val="Aptos"/>
    </x:font>
    <x:font>
      <x:i/>
      <x:sz val="10"/>
      <x:color rgb="FF1F2933"/>
      <x:name val="Aptos"/>
    </x:font>
    <x:font>
      <x:sz val="10"/>
      <x:color rgb="FF1F2933"/>
      <x:name val="Aptos"/>
    </x:font>
    <x:font>
      <x:b/>
      <x:sz val="16"/>
      <x:color rgb="FFFFFFFF"/>
      <x:name val="Aptos Display"/>
    </x:font>
    <x:font>
      <x:i/>
      <x:sz val="10"/>
      <x:color rgb="FF243B53"/>
      <x:name val="Aptos"/>
    </x:font>
    <x:font>
      <x:b/>
      <x:sz val="10"/>
      <x:color rgb="FFFFFFFF"/>
      <x:name val="Aptos"/>
    </x:font>
    <x:font>
      <x:b/>
      <x:sz val="10"/>
      <x:color rgb="FF222222"/>
      <x:name val="Aptos"/>
    </x:font>
    <x:font>
      <x:i/>
      <x:sz val="10"/>
      <x:color rgb="FF222222"/>
      <x:name val="Aptos"/>
    </x:font>
    <x:font>
      <x:sz val="10"/>
      <x:color rgb="FF222222"/>
      <x:name val="Aptos"/>
    </x:font>
    <x:font>
      <x:b/>
      <x:sz val="15"/>
      <x:color rgb="FFFFFFFF"/>
      <x:name val="Aptos"/>
    </x:font>
    <x:font>
      <x:i/>
      <x:sz val="10"/>
      <x:color rgb="FF444444"/>
      <x:name val="Aptos"/>
    </x:font>
    <x:font>
      <x:b/>
      <x:sz val="15"/>
      <x:color rgb="FFFFFFFF"/>
      <x:name val="Aptos"/>
    </x:font>
    <x:font>
      <x:i/>
      <x:sz val="10"/>
      <x:color rgb="FF404040"/>
      <x:name val="Aptos"/>
    </x:font>
    <x:font>
      <x:b/>
      <x:sz val="10"/>
      <x:color rgb="FFFFFFFF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2F6F73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404040"/>
      </x:patternFill>
    </x:fill>
    <x:fill>
      <x:patternFill patternType="solid">
        <x:fgColor rgb="FFF2F2F2"/>
      </x:patternFill>
    </x:fill>
    <x:fill>
      <x:patternFill patternType="solid">
        <x:fgColor rgb="FF737373"/>
      </x:patternFill>
    </x:fill>
    <x:fill>
      <x:patternFill patternType="solid">
        <x:fgColor rgb="FFFFFFFF"/>
      </x:patternFill>
    </x:fill>
    <x:fill>
      <x:patternFill patternType="solid">
        <x:fgColor rgb="FF404040"/>
      </x:patternFill>
    </x:fill>
    <x:fill>
      <x:patternFill patternType="solid">
        <x:fgColor rgb="FFF2F2F2"/>
      </x:patternFill>
    </x:fill>
    <x:fill>
      <x:patternFill patternType="solid">
        <x:fgColor rgb="FF737373"/>
      </x:patternFill>
    </x:fill>
  </x:fills>
  <x:borders count="1">
    <x:border/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wrapText="1"/>
    </x:xf>
    <x:xf numFmtId="201" fontId="7" fillId="5" borderId="0" xfId="0" applyNumberFormat="1" applyFont="1" applyFill="1" applyBorder="1"/>
    <x:xf numFmtId="202" fontId="7" fillId="5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 applyAlignment="1">
      <x:alignment horizont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202" fontId="7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vertical="center"/>
    </x:xf>
    <x:xf numFmtId="0" fontId="12" fillId="3" borderId="0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/>
    <x:xf numFmtId="202" fontId="13" fillId="5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 applyAlignment="1">
      <x:alignment horizontal="center"/>
    </x:xf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202" fontId="13" fillId="6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horizontal="center" vertical="center"/>
    </x:xf>
    <x:xf numFmtId="0" fontId="14" fillId="7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 applyAlignment="1">
      <x:alignment horizontal="center"/>
    </x:xf>
    <x:xf numFmtId="0" fontId="15" fillId="8" borderId="0" xfId="0" applyNumberFormat="1" applyFont="1" applyFill="1" applyBorder="1" applyAlignment="1">
      <x:alignment horizontal="center"/>
    </x:xf>
    <x:xf numFmtId="0" fontId="11" fillId="9" borderId="0" xfId="0" applyNumberFormat="1" applyFont="1" applyFill="1" applyBorder="1" applyAlignment="1">
      <x:alignment horizontal="center" vertic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1" fillId="9" borderId="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201" fontId="13" fillId="5" borderId="0" xfId="0" applyNumberFormat="1" applyFont="1" applyFill="1" applyBorder="1"/>
    <x:xf numFmtId="201" fontId="13" fillId="6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 applyAlignment="1">
      <x:alignment horizontal="center" vertical="center"/>
    </x:xf>
    <x:xf numFmtId="0" fontId="15" fillId="10" borderId="0" xfId="0" applyNumberFormat="1" applyFont="1" applyFill="1" applyBorder="1" applyAlignment="1">
      <x:alignment horizontal="center"/>
    </x:xf>
    <x:xf numFmtId="0" fontId="13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 applyAlignment="1">
      <x:alignment wrapText="1"/>
    </x:xf>
    <x:xf numFmtId="202" fontId="13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 applyAlignment="1">
      <x:alignment horizontal="center"/>
    </x:xf>
    <x:xf numFmtId="0" fontId="11" fillId="11" borderId="0" xfId="0" applyNumberFormat="1" applyFont="1" applyFill="1" applyBorder="1" applyAlignment="1">
      <x:alignment horizontal="center" vertical="center"/>
    </x:xf>
    <x:xf numFmtId="0" fontId="16" fillId="11" borderId="0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 applyAlignment="1">
      <x:alignment horizontal="center"/>
    </x:xf>
    <x:xf numFmtId="0" fontId="17" fillId="12" borderId="0" xfId="0" applyNumberFormat="1" applyFont="1" applyFill="1" applyBorder="1" applyAlignment="1">
      <x:alignment horizontal="center"/>
    </x:xf>
    <x:xf numFmtId="0" fontId="17" fillId="12" borderId="0" xfId="0" applyNumberFormat="1" applyFont="1" applyFill="1" applyBorder="1" applyAlignment="1">
      <x:alignment horizontal="center" vertical="center"/>
    </x:xf>
    <x:xf numFmtId="0" fontId="11" fillId="13" borderId="0" xfId="0" applyNumberFormat="1" applyFont="1" applyFill="1" applyBorder="1" applyAlignment="1">
      <x:alignment horizontal="center" vertical="center"/>
    </x:xf>
    <x:xf numFmtId="0" fontId="18" fillId="13" borderId="0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 applyAlignment="1">
      <x:alignment horizontal="left" wrapText="1"/>
    </x:xf>
    <x:xf numFmtId="202" fontId="13" fillId="10" borderId="0" xfId="0" applyNumberFormat="1" applyFont="1" applyFill="1" applyBorder="1" applyAlignment="1">
      <x:alignment horizontal="left" wrapText="1"/>
    </x:xf>
    <x:xf numFmtId="0" fontId="13" fillId="10" borderId="0" xfId="0" applyNumberFormat="1" applyFont="1" applyFill="1" applyBorder="1" applyAlignment="1">
      <x:alignment horizontal="left" vertical="center" wrapText="1"/>
    </x:xf>
    <x:xf numFmtId="202" fontId="13" fillId="10" borderId="0" xfId="0" applyNumberFormat="1" applyFont="1" applyFill="1" applyBorder="1" applyAlignment="1">
      <x:alignment horizontal="left" vertical="center" wrapText="1"/>
    </x:xf>
    <x:xf numFmtId="0" fontId="13" fillId="10" borderId="0" xfId="0" applyNumberFormat="1" applyFont="1" applyFill="1" applyBorder="1" applyAlignment="1">
      <x:alignment horizontal="left"/>
    </x:xf>
    <x:xf numFmtId="0" fontId="13" fillId="10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1" fillId="13" borderId="0" xfId="0" applyNumberFormat="1" applyFont="1" applyFill="1" applyBorder="1" applyAlignment="1">
      <x:alignment horizontal="center" vertical="center" wrapText="1"/>
    </x:xf>
    <x:xf numFmtId="0" fontId="18" fillId="13" borderId="0" xfId="0" applyNumberFormat="1" applyFont="1" applyFill="1" applyBorder="1" applyAlignment="1">
      <x:alignment horizontal="center" vertical="center" wrapText="1"/>
    </x:xf>
    <x:xf numFmtId="201" fontId="13" fillId="10" borderId="0" xfId="0" applyNumberFormat="1" applyFont="1" applyFill="1" applyBorder="1"/>
    <x:xf numFmtId="201" fontId="13" fillId="10" borderId="0" xfId="0" applyNumberFormat="1" applyFont="1" applyFill="1" applyBorder="1" applyAlignment="1">
      <x:alignment horizontal="left"/>
    </x:xf>
    <x:xf numFmtId="201" fontId="13" fillId="10" borderId="0" xfId="0" applyNumberFormat="1" applyFont="1" applyFill="1" applyBorder="1" applyAlignment="1">
      <x:alignment horizontal="left" vertical="center"/>
    </x:xf>
    <x:xf numFmtId="201" fontId="13" fillId="1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166f1d66240d1" /><Relationship Type="http://schemas.openxmlformats.org/officeDocument/2006/relationships/theme" Target="/xl/theme/theme1.xml" Id="Rbd4bf581bbec4012" /><Relationship Type="http://schemas.openxmlformats.org/officeDocument/2006/relationships/sharedStrings" Target="/xl/sharedStrings.xml" Id="R4ac1b881cdf34da3" /><Relationship Type="http://schemas.openxmlformats.org/officeDocument/2006/relationships/worksheet" Target="/xl/worksheets/sheet1.xml" Id="R1c70686a8d804eb5" /><Relationship Type="http://schemas.openxmlformats.org/officeDocument/2006/relationships/worksheet" Target="/xl/worksheets/sheet2.xml" Id="R8e8a0f8cc9544670" /><Relationship Type="http://schemas.openxmlformats.org/officeDocument/2006/relationships/worksheet" Target="/xl/worksheets/sheet3.xml" Id="R46b87e5ecfe742d9" /><Relationship Type="http://schemas.openxmlformats.org/officeDocument/2006/relationships/worksheet" Target="/xl/worksheets/sheet4.xml" Id="Rd206c8bd87274644" /><Relationship Type="http://schemas.openxmlformats.org/officeDocument/2006/relationships/worksheet" Target="/xl/worksheets/sheet5.xml" Id="Re629f6ba0bb94b3c" /><Relationship Type="http://schemas.openxmlformats.org/officeDocument/2006/relationships/worksheet" Target="/xl/worksheets/sheet6.xml" Id="R30d1e8bdc7a046e0" /><Relationship Type="http://schemas.openxmlformats.org/officeDocument/2006/relationships/worksheet" Target="/xl/worksheets/sheet7.xml" Id="Rb4c9d6fb444044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8.75" hidden="0" customWidth="1"/>
    <x:col min="3" max="3" width="11.25" hidden="0" customWidth="1"/>
    <x:col min="4" max="4" width="47.5" hidden="0" customWidth="1"/>
    <x:col min="5" max="5" width="2.5" hidden="0" customWidth="1"/>
    <x:col min="6" max="6" width="16.25" hidden="0" customWidth="1"/>
    <x:col min="7" max="7" width="12.5" hidden="0" customWidth="1"/>
    <x:col min="8" max="8" width="12.5" hidden="0" customWidth="1"/>
  </x:cols>
  <x:sheetData>
    <x:row r="1" ht="25.5" customHeight="1">
      <x:c r="A1" s="69" t="str">
        <x:v>RISCVExecutionUnit Portfolio Analysis</x:v>
      </x:c>
      <x:c r="B1" s="69" t="str">
        <x:v>RISCVExecutionUnit Portfolio Analysis</x:v>
      </x:c>
      <x:c r="C1" s="69" t="str">
        <x:v>RISCVExecutionUnit Portfolio Analysis</x:v>
      </x:c>
      <x:c r="D1" s="69" t="str">
        <x:v>RISCVExecutionUnit Portfolio Analysis</x:v>
      </x:c>
      <x:c r="E1" s="69" t="str">
        <x:v>RISCVExecutionUnit Portfolio Analysis</x:v>
      </x:c>
      <x:c r="F1" s="69" t="str">
        <x:v>RISCVExecutionUnit Portfolio Analysis</x:v>
      </x:c>
      <x:c r="G1" s="69" t="str">
        <x:v>RISCVExecutionUnit Portfolio Analysis</x:v>
      </x:c>
      <x:c r="H1" s="69" t="str">
        <x:v>RISCVExecutionUnit Portfolio Analysis</x:v>
      </x:c>
    </x:row>
    <x:row r="2" ht="18" customHeight="1">
      <x:c r="A2" s="72" t="str">
        <x:v>Fresh ModelSim regression and Quartus full-compile resource matrix</x:v>
      </x:c>
      <x:c r="B2" s="72" t="str">
        <x:v>Fresh ModelSim regression and Quartus full-compile resource matrix</x:v>
      </x:c>
      <x:c r="C2" s="72" t="str">
        <x:v>Fresh ModelSim regression and Quartus full-compile resource matrix</x:v>
      </x:c>
      <x:c r="D2" s="72" t="str">
        <x:v>Fresh ModelSim regression and Quartus full-compile resource matrix</x:v>
      </x:c>
      <x:c r="E2" s="72" t="str">
        <x:v>Fresh ModelSim regression and Quartus full-compile resource matrix</x:v>
      </x:c>
      <x:c r="F2" s="72" t="str">
        <x:v>Fresh ModelSim regression and Quartus full-compile resource matrix</x:v>
      </x:c>
      <x:c r="G2" s="72" t="str">
        <x:v>Fresh ModelSim regression and Quartus full-compile resource matrix</x:v>
      </x:c>
      <x:c r="H2" s="72" t="str">
        <x:v>Fresh ModelSim regression and Quartus full-compile resource matrix</x:v>
      </x:c>
    </x:row>
    <x:row r="3">
      <x:c r="A3" s="62"/>
      <x:c r="B3" s="62"/>
      <x:c r="C3" s="62"/>
      <x:c r="D3" s="62"/>
      <x:c r="E3" s="62"/>
      <x:c r="F3" s="62"/>
      <x:c r="G3" s="62"/>
      <x:c r="H3" s="62"/>
    </x:row>
    <x:row r="4">
      <x:c r="A4" s="74" t="str">
        <x:v>Metric</x:v>
      </x:c>
      <x:c r="B4" s="74" t="str">
        <x:v>Value</x:v>
      </x:c>
      <x:c r="C4" s="74" t="str">
        <x:v>Status</x:v>
      </x:c>
      <x:c r="D4" s="74" t="str">
        <x:v>Notes</x:v>
      </x:c>
      <x:c r="E4" s="62"/>
      <x:c r="F4" s="74" t="str">
        <x:v>Variant</x:v>
      </x:c>
      <x:c r="G4" s="74" t="str">
        <x:v>Avg LEs</x:v>
      </x:c>
      <x:c r="H4" s="74" t="str">
        <x:v>64-bit LEs</x:v>
      </x:c>
    </x:row>
    <x:row r="5">
      <x:c r="A5" s="77" t="str">
        <x:v>Quartus combinations compiled</x:v>
      </x:c>
      <x:c r="B5" s="77" t="n">
        <x:v>20</x:v>
      </x:c>
      <x:c r="C5" s="77" t="str">
        <x:v>PASS</x:v>
      </x:c>
      <x:c r="D5" s="77" t="str">
        <x:v>5 architecture variants x 4 widths</x:v>
      </x:c>
      <x:c r="E5" s="62"/>
      <x:c r="F5" s="77" t="str">
        <x:v>Baseline</x:v>
      </x:c>
      <x:c r="G5" s="77" t="n">
        <x:v>628</x:v>
      </x:c>
      <x:c r="H5" s="77" t="n">
        <x:v>1408</x:v>
      </x:c>
    </x:row>
    <x:row r="6">
      <x:c r="A6" s="77" t="str">
        <x:v>ModelSim source simulations</x:v>
      </x:c>
      <x:c r="B6" s="77" t="n">
        <x:v>20</x:v>
      </x:c>
      <x:c r="C6" s="77" t="str">
        <x:v>PASS</x:v>
      </x:c>
      <x:c r="D6" s="77" t="str">
        <x:v>All available vector suites passed</x:v>
      </x:c>
      <x:c r="E6" s="62"/>
      <x:c r="F6" s="77" t="str">
        <x:v>BKA_BRL</x:v>
      </x:c>
      <x:c r="G6" s="77" t="n">
        <x:v>723</x:v>
      </x:c>
      <x:c r="H6" s="77" t="n">
        <x:v>1663</x:v>
      </x:c>
    </x:row>
    <x:row r="7">
      <x:c r="A7" s="77" t="str">
        <x:v>Device target</x:v>
      </x:c>
      <x:c r="B7" s="77" t="str">
        <x:v>Cyclone IV E EP4CE115F29C7</x:v>
      </x:c>
      <x:c r="C7" s="77" t="str">
        <x:v>INFO</x:v>
      </x:c>
      <x:c r="D7" s="77" t="str">
        <x:v>Same target as Quartus project</x:v>
      </x:c>
      <x:c r="E7" s="62"/>
      <x:c r="F7" s="77" t="str">
        <x:v>BKA_SFT</x:v>
      </x:c>
      <x:c r="G7" s="77" t="n">
        <x:v>701</x:v>
      </x:c>
      <x:c r="H7" s="77" t="n">
        <x:v>1584</x:v>
      </x:c>
    </x:row>
    <x:row r="8">
      <x:c r="A8" s="77" t="str">
        <x:v>Fresh compile wall time</x:v>
      </x:c>
      <x:c r="B8" s="77" t="str">
        <x:v>691 sec</x:v>
      </x:c>
      <x:c r="C8" s="77" t="str">
        <x:v>INFO</x:v>
      </x:c>
      <x:c r="D8" s="77" t="str">
        <x:v>Sum of per-combination Quartus elapsed time</x:v>
      </x:c>
      <x:c r="E8" s="62"/>
      <x:c r="F8" s="77" t="str">
        <x:v>CSA_BRL</x:v>
      </x:c>
      <x:c r="G8" s="77" t="n">
        <x:v>693</x:v>
      </x:c>
      <x:c r="H8" s="77" t="n">
        <x:v>1592</x:v>
      </x:c>
    </x:row>
    <x:row r="9">
      <x:c r="A9" s="77" t="str">
        <x:v>Clocked Fmax from STA</x:v>
      </x:c>
      <x:c r="B9" s="77" t="str">
        <x:v>N/A</x:v>
      </x:c>
      <x:c r="C9" s="77" t="str">
        <x:v>INFO</x:v>
      </x:c>
      <x:c r="D9" s="77" t="str">
        <x:v>Core is combinational; no clock constraint/register path</x:v>
      </x:c>
      <x:c r="E9" s="62"/>
      <x:c r="F9" s="77" t="str">
        <x:v>CSA_SFT</x:v>
      </x:c>
      <x:c r="G9" s="77" t="n">
        <x:v>667</x:v>
      </x:c>
      <x:c r="H9" s="77" t="n">
        <x:v>1486</x:v>
      </x:c>
    </x:row>
    <x:row r="10">
      <x:c r="A10" s="77" t="str">
        <x:v>Smallest 64-bit design</x:v>
      </x:c>
      <x:c r="B10" s="77" t="str">
        <x:v>Baseline (1408 LEs)</x:v>
      </x:c>
      <x:c r="C10" s="77" t="str">
        <x:v>INFO</x:v>
      </x:c>
      <x:c r="D10" s="77" t="str">
        <x:v>Area-minimum architecture at N=64</x:v>
      </x:c>
      <x:c r="E10" s="62"/>
      <x:c r="F10" s="62"/>
      <x:c r="G10" s="62"/>
      <x:c r="H10" s="62"/>
    </x:row>
    <x:row r="11">
      <x:c r="A11" s="77" t="str">
        <x:v>Workbook generated</x:v>
      </x:c>
      <x:c r="B11" s="78" t="str">
        <x:v>2026-05-22 18:44</x:v>
      </x:c>
      <x:c r="C11" s="77" t="str">
        <x:v>INFO</x:v>
      </x:c>
      <x:c r="D11" s="77" t="str">
        <x:v>Created from fresh compile outputs and source vectors</x:v>
      </x:c>
      <x:c r="E11" s="62"/>
      <x:c r="F11" s="62"/>
      <x:c r="G11" s="62"/>
      <x:c r="H11" s="62"/>
    </x:row>
    <x:row r="12">
      <x:c r="A12" s="62"/>
      <x:c r="B12" s="62"/>
      <x:c r="C12" s="62"/>
      <x:c r="D12" s="62"/>
      <x:c r="E12" s="62"/>
      <x:c r="F12" s="62"/>
      <x:c r="G12" s="62"/>
      <x:c r="H12" s="62"/>
    </x:row>
    <x:row r="13">
      <x:c r="A13" s="74" t="str">
        <x:v>Width</x:v>
      </x:c>
      <x:c r="B13" s="74" t="str">
        <x:v>Smallest Variant</x:v>
      </x:c>
      <x:c r="C13" s="74" t="str">
        <x:v>Smallest LEs</x:v>
      </x:c>
      <x:c r="D13" s="74" t="str">
        <x:v>Largest Variant / LEs</x:v>
      </x:c>
      <x:c r="E13" s="62"/>
      <x:c r="F13" s="62"/>
      <x:c r="G13" s="62"/>
      <x:c r="H13" s="62"/>
    </x:row>
    <x:row r="14">
      <x:c r="A14" s="77" t="n">
        <x:v>8</x:v>
      </x:c>
      <x:c r="B14" s="77" t="str">
        <x:v>Baseline</x:v>
      </x:c>
      <x:c r="C14" s="77" t="n">
        <x:v>140</x:v>
      </x:c>
      <x:c r="D14" s="77" t="str">
        <x:v>CSA_SFT / 153</x:v>
      </x:c>
      <x:c r="E14" s="62"/>
      <x:c r="F14" s="62"/>
      <x:c r="G14" s="62"/>
      <x:c r="H14" s="62"/>
    </x:row>
    <x:row r="15">
      <x:c r="A15" s="77" t="n">
        <x:v>16</x:v>
      </x:c>
      <x:c r="B15" s="77" t="str">
        <x:v>Baseline</x:v>
      </x:c>
      <x:c r="C15" s="77" t="n">
        <x:v>311</x:v>
      </x:c>
      <x:c r="D15" s="77" t="str">
        <x:v>BKA_SFT / 344</x:v>
      </x:c>
      <x:c r="E15" s="62"/>
      <x:c r="F15" s="62"/>
      <x:c r="G15" s="62"/>
      <x:c r="H15" s="62"/>
    </x:row>
    <x:row r="16">
      <x:c r="A16" s="77" t="n">
        <x:v>32</x:v>
      </x:c>
      <x:c r="B16" s="77" t="str">
        <x:v>Baseline</x:v>
      </x:c>
      <x:c r="C16" s="77" t="n">
        <x:v>654</x:v>
      </x:c>
      <x:c r="D16" s="77" t="str">
        <x:v>BKA_BRL / 757</x:v>
      </x:c>
      <x:c r="E16" s="62"/>
      <x:c r="F16" s="62"/>
      <x:c r="G16" s="62"/>
      <x:c r="H16" s="62"/>
    </x:row>
    <x:row r="17">
      <x:c r="A17" s="77" t="n">
        <x:v>64</x:v>
      </x:c>
      <x:c r="B17" s="77" t="str">
        <x:v>Baseline</x:v>
      </x:c>
      <x:c r="C17" s="77" t="n">
        <x:v>1408</x:v>
      </x:c>
      <x:c r="D17" s="77" t="str">
        <x:v>BKA_BRL / 1663</x:v>
      </x:c>
      <x:c r="E17" s="62"/>
      <x:c r="F17" s="62"/>
      <x:c r="G17" s="62"/>
      <x:c r="H17" s="62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75" hidden="0" customWidth="1"/>
    <x:col min="3" max="3" width="14.380000114440918" hidden="0" customWidth="1"/>
    <x:col min="4" max="4" width="13.75" hidden="0" customWidth="1"/>
    <x:col min="5" max="5" width="15.630000114440918" hidden="0" customWidth="1"/>
    <x:col min="6" max="6" width="11.25" hidden="0" customWidth="1"/>
    <x:col min="7" max="7" width="10" hidden="0" customWidth="1"/>
    <x:col min="8" max="8" width="12.5" hidden="0" customWidth="1"/>
    <x:col min="9" max="9" width="11.880000114440918" hidden="0" customWidth="1"/>
    <x:col min="10" max="10" width="11.880000114440918" hidden="0" customWidth="1"/>
    <x:col min="11" max="11" width="11.25" hidden="0" customWidth="1"/>
    <x:col min="12" max="12" width="35" hidden="0" customWidth="1"/>
  </x:cols>
  <x:sheetData>
    <x:row r="1" ht="25.5" customHeight="1">
      <x:c r="A1" s="69" t="str">
        <x:v>Quartus Full-Compile Matrix</x:v>
      </x:c>
      <x:c r="B1" s="69" t="str">
        <x:v>Quartus Full-Compile Matrix</x:v>
      </x:c>
      <x:c r="C1" s="69" t="str">
        <x:v>Quartus Full-Compile Matrix</x:v>
      </x:c>
      <x:c r="D1" s="69" t="str">
        <x:v>Quartus Full-Compile Matrix</x:v>
      </x:c>
      <x:c r="E1" s="69" t="str">
        <x:v>Quartus Full-Compile Matrix</x:v>
      </x:c>
      <x:c r="F1" s="69" t="str">
        <x:v>Quartus Full-Compile Matrix</x:v>
      </x:c>
      <x:c r="G1" s="69" t="str">
        <x:v>Quartus Full-Compile Matrix</x:v>
      </x:c>
      <x:c r="H1" s="69" t="str">
        <x:v>Quartus Full-Compile Matrix</x:v>
      </x:c>
      <x:c r="I1" s="69" t="str">
        <x:v>Quartus Full-Compile Matrix</x:v>
      </x:c>
      <x:c r="J1" s="69" t="str">
        <x:v>Quartus Full-Compile Matrix</x:v>
      </x:c>
      <x:c r="K1" s="69" t="str">
        <x:v>Quartus Full-Compile Matrix</x:v>
      </x:c>
      <x:c r="L1" s="69" t="str">
        <x:v>Quartus Full-Compile Matrix</x:v>
      </x:c>
    </x:row>
    <x:row r="2" ht="18" customHeight="1">
      <x:c r="A2" s="72" t="str">
        <x:v>Fresh area/resource data from generated per-combination projects</x:v>
      </x:c>
      <x:c r="B2" s="72" t="str">
        <x:v>Fresh area/resource data from generated per-combination projects</x:v>
      </x:c>
      <x:c r="C2" s="72" t="str">
        <x:v>Fresh area/resource data from generated per-combination projects</x:v>
      </x:c>
      <x:c r="D2" s="72" t="str">
        <x:v>Fresh area/resource data from generated per-combination projects</x:v>
      </x:c>
      <x:c r="E2" s="72" t="str">
        <x:v>Fresh area/resource data from generated per-combination projects</x:v>
      </x:c>
      <x:c r="F2" s="72" t="str">
        <x:v>Fresh area/resource data from generated per-combination projects</x:v>
      </x:c>
      <x:c r="G2" s="72" t="str">
        <x:v>Fresh area/resource data from generated per-combination projects</x:v>
      </x:c>
      <x:c r="H2" s="72" t="str">
        <x:v>Fresh area/resource data from generated per-combination projects</x:v>
      </x:c>
      <x:c r="I2" s="62"/>
      <x:c r="J2" s="62"/>
      <x:c r="K2" s="62"/>
      <x:c r="L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</x:row>
    <x:row r="4">
      <x:c r="A4" s="84" t="str">
        <x:v>Width</x:v>
      </x:c>
      <x:c r="B4" s="84" t="str">
        <x:v>Variant</x:v>
      </x:c>
      <x:c r="C4" s="84" t="str">
        <x:v>Compile Status</x:v>
      </x:c>
      <x:c r="D4" s="84" t="str">
        <x:v>Logic Elements</x:v>
      </x:c>
      <x:c r="E4" s="84" t="str">
        <x:v>Comb Functions</x:v>
      </x:c>
      <x:c r="F4" s="84" t="str">
        <x:v>Registers</x:v>
      </x:c>
      <x:c r="G4" s="84" t="str">
        <x:v>Pins</x:v>
      </x:c>
      <x:c r="H4" s="84" t="str">
        <x:v>Memory Bits</x:v>
      </x:c>
      <x:c r="I4" s="84" t="str">
        <x:v>DSP 9-bit</x:v>
      </x:c>
      <x:c r="J4" s="84" t="str">
        <x:v>Elapsed Sec</x:v>
      </x:c>
      <x:c r="K4" s="84" t="str">
        <x:v>STA Fmax</x:v>
      </x:c>
      <x:c r="L4" s="84" t="str">
        <x:v>Notes</x:v>
      </x:c>
    </x:row>
    <x:row r="5">
      <x:c r="A5" s="77" t="n">
        <x:v>8</x:v>
      </x:c>
      <x:c r="B5" s="77" t="str">
        <x:v>Baseline</x:v>
      </x:c>
      <x:c r="C5" s="77" t="str">
        <x:v>PASS</x:v>
      </x:c>
      <x:c r="D5" s="77" t="n">
        <x:v>140</x:v>
      </x:c>
      <x:c r="E5" s="77" t="n">
        <x:v>140</x:v>
      </x:c>
      <x:c r="F5" s="77" t="n">
        <x:v>0</x:v>
      </x:c>
      <x:c r="G5" s="77" t="n">
        <x:v>37</x:v>
      </x:c>
      <x:c r="H5" s="77" t="n">
        <x:v>0</x:v>
      </x:c>
      <x:c r="I5" s="77" t="n">
        <x:v>0</x:v>
      </x:c>
      <x:c r="J5" s="77" t="n">
        <x:v>29.14</x:v>
      </x:c>
      <x:c r="K5" s="77" t="str">
        <x:v>N/A</x:v>
      </x:c>
      <x:c r="L5" s="77" t="str">
        <x:v>Full Quartus compile completed</x:v>
      </x:c>
    </x:row>
    <x:row r="6">
      <x:c r="A6" s="77" t="n">
        <x:v>8</x:v>
      </x:c>
      <x:c r="B6" s="77" t="str">
        <x:v>BKA_BRL</x:v>
      </x:c>
      <x:c r="C6" s="77" t="str">
        <x:v>PASS</x:v>
      </x:c>
      <x:c r="D6" s="77" t="n">
        <x:v>143</x:v>
      </x:c>
      <x:c r="E6" s="77" t="n">
        <x:v>143</x:v>
      </x:c>
      <x:c r="F6" s="77" t="n">
        <x:v>0</x:v>
      </x:c>
      <x:c r="G6" s="77" t="n">
        <x:v>37</x:v>
      </x:c>
      <x:c r="H6" s="77" t="n">
        <x:v>0</x:v>
      </x:c>
      <x:c r="I6" s="77" t="n">
        <x:v>0</x:v>
      </x:c>
      <x:c r="J6" s="77" t="n">
        <x:v>28.99</x:v>
      </x:c>
      <x:c r="K6" s="77" t="str">
        <x:v>N/A</x:v>
      </x:c>
      <x:c r="L6" s="77" t="str">
        <x:v>Full Quartus compile completed</x:v>
      </x:c>
    </x:row>
    <x:row r="7">
      <x:c r="A7" s="77" t="n">
        <x:v>8</x:v>
      </x:c>
      <x:c r="B7" s="77" t="str">
        <x:v>BKA_SFT</x:v>
      </x:c>
      <x:c r="C7" s="77" t="str">
        <x:v>PASS</x:v>
      </x:c>
      <x:c r="D7" s="77" t="n">
        <x:v>149</x:v>
      </x:c>
      <x:c r="E7" s="77" t="n">
        <x:v>149</x:v>
      </x:c>
      <x:c r="F7" s="77" t="n">
        <x:v>0</x:v>
      </x:c>
      <x:c r="G7" s="77" t="n">
        <x:v>37</x:v>
      </x:c>
      <x:c r="H7" s="77" t="n">
        <x:v>0</x:v>
      </x:c>
      <x:c r="I7" s="77" t="n">
        <x:v>0</x:v>
      </x:c>
      <x:c r="J7" s="77" t="n">
        <x:v>28.1</x:v>
      </x:c>
      <x:c r="K7" s="77" t="str">
        <x:v>N/A</x:v>
      </x:c>
      <x:c r="L7" s="77" t="str">
        <x:v>Full Quartus compile completed</x:v>
      </x:c>
    </x:row>
    <x:row r="8">
      <x:c r="A8" s="77" t="n">
        <x:v>8</x:v>
      </x:c>
      <x:c r="B8" s="77" t="str">
        <x:v>CSA_BRL</x:v>
      </x:c>
      <x:c r="C8" s="77" t="str">
        <x:v>PASS</x:v>
      </x:c>
      <x:c r="D8" s="77" t="n">
        <x:v>144</x:v>
      </x:c>
      <x:c r="E8" s="77" t="n">
        <x:v>144</x:v>
      </x:c>
      <x:c r="F8" s="77" t="n">
        <x:v>0</x:v>
      </x:c>
      <x:c r="G8" s="77" t="n">
        <x:v>37</x:v>
      </x:c>
      <x:c r="H8" s="77" t="n">
        <x:v>0</x:v>
      </x:c>
      <x:c r="I8" s="77" t="n">
        <x:v>0</x:v>
      </x:c>
      <x:c r="J8" s="77" t="n">
        <x:v>28.06</x:v>
      </x:c>
      <x:c r="K8" s="77" t="str">
        <x:v>N/A</x:v>
      </x:c>
      <x:c r="L8" s="77" t="str">
        <x:v>Full Quartus compile completed</x:v>
      </x:c>
    </x:row>
    <x:row r="9">
      <x:c r="A9" s="77" t="n">
        <x:v>8</x:v>
      </x:c>
      <x:c r="B9" s="77" t="str">
        <x:v>CSA_SFT</x:v>
      </x:c>
      <x:c r="C9" s="77" t="str">
        <x:v>PASS</x:v>
      </x:c>
      <x:c r="D9" s="77" t="n">
        <x:v>153</x:v>
      </x:c>
      <x:c r="E9" s="77" t="n">
        <x:v>153</x:v>
      </x:c>
      <x:c r="F9" s="77" t="n">
        <x:v>0</x:v>
      </x:c>
      <x:c r="G9" s="77" t="n">
        <x:v>37</x:v>
      </x:c>
      <x:c r="H9" s="77" t="n">
        <x:v>0</x:v>
      </x:c>
      <x:c r="I9" s="77" t="n">
        <x:v>0</x:v>
      </x:c>
      <x:c r="J9" s="77" t="n">
        <x:v>28.44</x:v>
      </x:c>
      <x:c r="K9" s="77" t="str">
        <x:v>N/A</x:v>
      </x:c>
      <x:c r="L9" s="77" t="str">
        <x:v>Full Quartus compile completed</x:v>
      </x:c>
    </x:row>
    <x:row r="10">
      <x:c r="A10" s="77" t="n">
        <x:v>16</x:v>
      </x:c>
      <x:c r="B10" s="77" t="str">
        <x:v>Baseline</x:v>
      </x:c>
      <x:c r="C10" s="77" t="str">
        <x:v>PASS</x:v>
      </x:c>
      <x:c r="D10" s="77" t="n">
        <x:v>311</x:v>
      </x:c>
      <x:c r="E10" s="77" t="n">
        <x:v>311</x:v>
      </x:c>
      <x:c r="F10" s="77" t="n">
        <x:v>0</x:v>
      </x:c>
      <x:c r="G10" s="77" t="n">
        <x:v>61</x:v>
      </x:c>
      <x:c r="H10" s="77" t="n">
        <x:v>0</x:v>
      </x:c>
      <x:c r="I10" s="77" t="n">
        <x:v>0</x:v>
      </x:c>
      <x:c r="J10" s="77" t="n">
        <x:v>29.83</x:v>
      </x:c>
      <x:c r="K10" s="77" t="str">
        <x:v>N/A</x:v>
      </x:c>
      <x:c r="L10" s="77" t="str">
        <x:v>Full Quartus compile completed</x:v>
      </x:c>
    </x:row>
    <x:row r="11">
      <x:c r="A11" s="77" t="n">
        <x:v>16</x:v>
      </x:c>
      <x:c r="B11" s="77" t="str">
        <x:v>BKA_BRL</x:v>
      </x:c>
      <x:c r="C11" s="77" t="str">
        <x:v>PASS</x:v>
      </x:c>
      <x:c r="D11" s="77" t="n">
        <x:v>328</x:v>
      </x:c>
      <x:c r="E11" s="77" t="n">
        <x:v>328</x:v>
      </x:c>
      <x:c r="F11" s="77" t="n">
        <x:v>0</x:v>
      </x:c>
      <x:c r="G11" s="77" t="n">
        <x:v>61</x:v>
      </x:c>
      <x:c r="H11" s="77" t="n">
        <x:v>0</x:v>
      </x:c>
      <x:c r="I11" s="77" t="n">
        <x:v>0</x:v>
      </x:c>
      <x:c r="J11" s="77" t="n">
        <x:v>29.62</x:v>
      </x:c>
      <x:c r="K11" s="77" t="str">
        <x:v>N/A</x:v>
      </x:c>
      <x:c r="L11" s="77" t="str">
        <x:v>Full Quartus compile completed</x:v>
      </x:c>
    </x:row>
    <x:row r="12">
      <x:c r="A12" s="77" t="n">
        <x:v>16</x:v>
      </x:c>
      <x:c r="B12" s="77" t="str">
        <x:v>BKA_SFT</x:v>
      </x:c>
      <x:c r="C12" s="77" t="str">
        <x:v>PASS</x:v>
      </x:c>
      <x:c r="D12" s="77" t="n">
        <x:v>344</x:v>
      </x:c>
      <x:c r="E12" s="77" t="n">
        <x:v>344</x:v>
      </x:c>
      <x:c r="F12" s="77" t="n">
        <x:v>0</x:v>
      </x:c>
      <x:c r="G12" s="77" t="n">
        <x:v>61</x:v>
      </x:c>
      <x:c r="H12" s="77" t="n">
        <x:v>0</x:v>
      </x:c>
      <x:c r="I12" s="77" t="n">
        <x:v>0</x:v>
      </x:c>
      <x:c r="J12" s="77" t="n">
        <x:v>29.47</x:v>
      </x:c>
      <x:c r="K12" s="77" t="str">
        <x:v>N/A</x:v>
      </x:c>
      <x:c r="L12" s="77" t="str">
        <x:v>Full Quartus compile completed</x:v>
      </x:c>
    </x:row>
    <x:row r="13">
      <x:c r="A13" s="77" t="n">
        <x:v>16</x:v>
      </x:c>
      <x:c r="B13" s="77" t="str">
        <x:v>CSA_BRL</x:v>
      </x:c>
      <x:c r="C13" s="77" t="str">
        <x:v>PASS</x:v>
      </x:c>
      <x:c r="D13" s="77" t="n">
        <x:v>313</x:v>
      </x:c>
      <x:c r="E13" s="77" t="n">
        <x:v>313</x:v>
      </x:c>
      <x:c r="F13" s="77" t="n">
        <x:v>0</x:v>
      </x:c>
      <x:c r="G13" s="77" t="n">
        <x:v>61</x:v>
      </x:c>
      <x:c r="H13" s="77" t="n">
        <x:v>0</x:v>
      </x:c>
      <x:c r="I13" s="77" t="n">
        <x:v>0</x:v>
      </x:c>
      <x:c r="J13" s="77" t="n">
        <x:v>29.22</x:v>
      </x:c>
      <x:c r="K13" s="77" t="str">
        <x:v>N/A</x:v>
      </x:c>
      <x:c r="L13" s="77" t="str">
        <x:v>Full Quartus compile completed</x:v>
      </x:c>
    </x:row>
    <x:row r="14">
      <x:c r="A14" s="77" t="n">
        <x:v>16</x:v>
      </x:c>
      <x:c r="B14" s="77" t="str">
        <x:v>CSA_SFT</x:v>
      </x:c>
      <x:c r="C14" s="77" t="str">
        <x:v>PASS</x:v>
      </x:c>
      <x:c r="D14" s="77" t="n">
        <x:v>334</x:v>
      </x:c>
      <x:c r="E14" s="77" t="n">
        <x:v>334</x:v>
      </x:c>
      <x:c r="F14" s="77" t="n">
        <x:v>0</x:v>
      </x:c>
      <x:c r="G14" s="77" t="n">
        <x:v>61</x:v>
      </x:c>
      <x:c r="H14" s="77" t="n">
        <x:v>0</x:v>
      </x:c>
      <x:c r="I14" s="77" t="n">
        <x:v>0</x:v>
      </x:c>
      <x:c r="J14" s="77" t="n">
        <x:v>30.99</x:v>
      </x:c>
      <x:c r="K14" s="77" t="str">
        <x:v>N/A</x:v>
      </x:c>
      <x:c r="L14" s="77" t="str">
        <x:v>Full Quartus compile completed</x:v>
      </x:c>
    </x:row>
    <x:row r="15">
      <x:c r="A15" s="77" t="n">
        <x:v>32</x:v>
      </x:c>
      <x:c r="B15" s="77" t="str">
        <x:v>Baseline</x:v>
      </x:c>
      <x:c r="C15" s="77" t="str">
        <x:v>PASS</x:v>
      </x:c>
      <x:c r="D15" s="77" t="n">
        <x:v>654</x:v>
      </x:c>
      <x:c r="E15" s="77" t="n">
        <x:v>654</x:v>
      </x:c>
      <x:c r="F15" s="77" t="n">
        <x:v>0</x:v>
      </x:c>
      <x:c r="G15" s="77" t="n">
        <x:v>109</x:v>
      </x:c>
      <x:c r="H15" s="77" t="n">
        <x:v>0</x:v>
      </x:c>
      <x:c r="I15" s="77" t="n">
        <x:v>0</x:v>
      </x:c>
      <x:c r="J15" s="77" t="n">
        <x:v>33.68</x:v>
      </x:c>
      <x:c r="K15" s="77" t="str">
        <x:v>N/A</x:v>
      </x:c>
      <x:c r="L15" s="77" t="str">
        <x:v>Full Quartus compile completed</x:v>
      </x:c>
    </x:row>
    <x:row r="16">
      <x:c r="A16" s="77" t="n">
        <x:v>32</x:v>
      </x:c>
      <x:c r="B16" s="77" t="str">
        <x:v>BKA_BRL</x:v>
      </x:c>
      <x:c r="C16" s="77" t="str">
        <x:v>PASS</x:v>
      </x:c>
      <x:c r="D16" s="77" t="n">
        <x:v>757</x:v>
      </x:c>
      <x:c r="E16" s="77" t="n">
        <x:v>757</x:v>
      </x:c>
      <x:c r="F16" s="77" t="n">
        <x:v>0</x:v>
      </x:c>
      <x:c r="G16" s="77" t="n">
        <x:v>109</x:v>
      </x:c>
      <x:c r="H16" s="77" t="n">
        <x:v>0</x:v>
      </x:c>
      <x:c r="I16" s="77" t="n">
        <x:v>0</x:v>
      </x:c>
      <x:c r="J16" s="77" t="n">
        <x:v>32.54</x:v>
      </x:c>
      <x:c r="K16" s="77" t="str">
        <x:v>N/A</x:v>
      </x:c>
      <x:c r="L16" s="77" t="str">
        <x:v>Full Quartus compile completed</x:v>
      </x:c>
    </x:row>
    <x:row r="17">
      <x:c r="A17" s="77" t="n">
        <x:v>32</x:v>
      </x:c>
      <x:c r="B17" s="77" t="str">
        <x:v>BKA_SFT</x:v>
      </x:c>
      <x:c r="C17" s="77" t="str">
        <x:v>PASS</x:v>
      </x:c>
      <x:c r="D17" s="77" t="n">
        <x:v>726</x:v>
      </x:c>
      <x:c r="E17" s="77" t="n">
        <x:v>726</x:v>
      </x:c>
      <x:c r="F17" s="77" t="n">
        <x:v>0</x:v>
      </x:c>
      <x:c r="G17" s="77" t="n">
        <x:v>109</x:v>
      </x:c>
      <x:c r="H17" s="77" t="n">
        <x:v>0</x:v>
      </x:c>
      <x:c r="I17" s="77" t="n">
        <x:v>0</x:v>
      </x:c>
      <x:c r="J17" s="77" t="n">
        <x:v>33.7</x:v>
      </x:c>
      <x:c r="K17" s="77" t="str">
        <x:v>N/A</x:v>
      </x:c>
      <x:c r="L17" s="77" t="str">
        <x:v>Full Quartus compile completed</x:v>
      </x:c>
    </x:row>
    <x:row r="18">
      <x:c r="A18" s="77" t="n">
        <x:v>32</x:v>
      </x:c>
      <x:c r="B18" s="77" t="str">
        <x:v>CSA_BRL</x:v>
      </x:c>
      <x:c r="C18" s="77" t="str">
        <x:v>PASS</x:v>
      </x:c>
      <x:c r="D18" s="77" t="n">
        <x:v>722</x:v>
      </x:c>
      <x:c r="E18" s="77" t="n">
        <x:v>722</x:v>
      </x:c>
      <x:c r="F18" s="77" t="n">
        <x:v>0</x:v>
      </x:c>
      <x:c r="G18" s="77" t="n">
        <x:v>109</x:v>
      </x:c>
      <x:c r="H18" s="77" t="n">
        <x:v>0</x:v>
      </x:c>
      <x:c r="I18" s="77" t="n">
        <x:v>0</x:v>
      </x:c>
      <x:c r="J18" s="77" t="n">
        <x:v>36.33</x:v>
      </x:c>
      <x:c r="K18" s="77" t="str">
        <x:v>N/A</x:v>
      </x:c>
      <x:c r="L18" s="77" t="str">
        <x:v>Full Quartus compile completed</x:v>
      </x:c>
    </x:row>
    <x:row r="19">
      <x:c r="A19" s="77" t="n">
        <x:v>32</x:v>
      </x:c>
      <x:c r="B19" s="77" t="str">
        <x:v>CSA_SFT</x:v>
      </x:c>
      <x:c r="C19" s="77" t="str">
        <x:v>PASS</x:v>
      </x:c>
      <x:c r="D19" s="77" t="n">
        <x:v>696</x:v>
      </x:c>
      <x:c r="E19" s="77" t="n">
        <x:v>696</x:v>
      </x:c>
      <x:c r="F19" s="77" t="n">
        <x:v>0</x:v>
      </x:c>
      <x:c r="G19" s="77" t="n">
        <x:v>109</x:v>
      </x:c>
      <x:c r="H19" s="77" t="n">
        <x:v>0</x:v>
      </x:c>
      <x:c r="I19" s="77" t="n">
        <x:v>0</x:v>
      </x:c>
      <x:c r="J19" s="77" t="n">
        <x:v>34.12</x:v>
      </x:c>
      <x:c r="K19" s="77" t="str">
        <x:v>N/A</x:v>
      </x:c>
      <x:c r="L19" s="77" t="str">
        <x:v>Full Quartus compile completed</x:v>
      </x:c>
    </x:row>
    <x:row r="20">
      <x:c r="A20" s="77" t="n">
        <x:v>64</x:v>
      </x:c>
      <x:c r="B20" s="77" t="str">
        <x:v>Baseline</x:v>
      </x:c>
      <x:c r="C20" s="77" t="str">
        <x:v>PASS</x:v>
      </x:c>
      <x:c r="D20" s="77" t="n">
        <x:v>1408</x:v>
      </x:c>
      <x:c r="E20" s="77" t="n">
        <x:v>1408</x:v>
      </x:c>
      <x:c r="F20" s="77" t="n">
        <x:v>0</x:v>
      </x:c>
      <x:c r="G20" s="77" t="n">
        <x:v>205</x:v>
      </x:c>
      <x:c r="H20" s="77" t="n">
        <x:v>0</x:v>
      </x:c>
      <x:c r="I20" s="77" t="n">
        <x:v>0</x:v>
      </x:c>
      <x:c r="J20" s="77" t="n">
        <x:v>45.61</x:v>
      </x:c>
      <x:c r="K20" s="77" t="str">
        <x:v>N/A</x:v>
      </x:c>
      <x:c r="L20" s="77" t="str">
        <x:v>Full Quartus compile completed</x:v>
      </x:c>
    </x:row>
    <x:row r="21">
      <x:c r="A21" s="77" t="n">
        <x:v>64</x:v>
      </x:c>
      <x:c r="B21" s="77" t="str">
        <x:v>BKA_BRL</x:v>
      </x:c>
      <x:c r="C21" s="77" t="str">
        <x:v>PASS</x:v>
      </x:c>
      <x:c r="D21" s="77" t="n">
        <x:v>1663</x:v>
      </x:c>
      <x:c r="E21" s="77" t="n">
        <x:v>1663</x:v>
      </x:c>
      <x:c r="F21" s="77" t="n">
        <x:v>0</x:v>
      </x:c>
      <x:c r="G21" s="77" t="n">
        <x:v>205</x:v>
      </x:c>
      <x:c r="H21" s="77" t="n">
        <x:v>0</x:v>
      </x:c>
      <x:c r="I21" s="77" t="n">
        <x:v>0</x:v>
      </x:c>
      <x:c r="J21" s="77" t="n">
        <x:v>44.73</x:v>
      </x:c>
      <x:c r="K21" s="77" t="str">
        <x:v>N/A</x:v>
      </x:c>
      <x:c r="L21" s="77" t="str">
        <x:v>Full Quartus compile completed</x:v>
      </x:c>
    </x:row>
    <x:row r="22">
      <x:c r="A22" s="77" t="n">
        <x:v>64</x:v>
      </x:c>
      <x:c r="B22" s="77" t="str">
        <x:v>BKA_SFT</x:v>
      </x:c>
      <x:c r="C22" s="77" t="str">
        <x:v>PASS</x:v>
      </x:c>
      <x:c r="D22" s="77" t="n">
        <x:v>1584</x:v>
      </x:c>
      <x:c r="E22" s="77" t="n">
        <x:v>1584</x:v>
      </x:c>
      <x:c r="F22" s="77" t="n">
        <x:v>0</x:v>
      </x:c>
      <x:c r="G22" s="77" t="n">
        <x:v>205</x:v>
      </x:c>
      <x:c r="H22" s="77" t="n">
        <x:v>0</x:v>
      </x:c>
      <x:c r="I22" s="77" t="n">
        <x:v>0</x:v>
      </x:c>
      <x:c r="J22" s="77" t="n">
        <x:v>46.18</x:v>
      </x:c>
      <x:c r="K22" s="77" t="str">
        <x:v>N/A</x:v>
      </x:c>
      <x:c r="L22" s="77" t="str">
        <x:v>Full Quartus compile completed</x:v>
      </x:c>
    </x:row>
    <x:row r="23">
      <x:c r="A23" s="77" t="n">
        <x:v>64</x:v>
      </x:c>
      <x:c r="B23" s="77" t="str">
        <x:v>CSA_BRL</x:v>
      </x:c>
      <x:c r="C23" s="77" t="str">
        <x:v>PASS</x:v>
      </x:c>
      <x:c r="D23" s="77" t="n">
        <x:v>1592</x:v>
      </x:c>
      <x:c r="E23" s="77" t="n">
        <x:v>1592</x:v>
      </x:c>
      <x:c r="F23" s="77" t="n">
        <x:v>0</x:v>
      </x:c>
      <x:c r="G23" s="77" t="n">
        <x:v>205</x:v>
      </x:c>
      <x:c r="H23" s="77" t="n">
        <x:v>0</x:v>
      </x:c>
      <x:c r="I23" s="77" t="n">
        <x:v>0</x:v>
      </x:c>
      <x:c r="J23" s="77" t="n">
        <x:v>44.64</x:v>
      </x:c>
      <x:c r="K23" s="77" t="str">
        <x:v>N/A</x:v>
      </x:c>
      <x:c r="L23" s="77" t="str">
        <x:v>Full Quartus compile completed</x:v>
      </x:c>
    </x:row>
    <x:row r="24">
      <x:c r="A24" s="77" t="n">
        <x:v>64</x:v>
      </x:c>
      <x:c r="B24" s="77" t="str">
        <x:v>CSA_SFT</x:v>
      </x:c>
      <x:c r="C24" s="77" t="str">
        <x:v>PASS</x:v>
      </x:c>
      <x:c r="D24" s="77" t="n">
        <x:v>1486</x:v>
      </x:c>
      <x:c r="E24" s="77" t="n">
        <x:v>1486</x:v>
      </x:c>
      <x:c r="F24" s="77" t="n">
        <x:v>0</x:v>
      </x:c>
      <x:c r="G24" s="77" t="n">
        <x:v>205</x:v>
      </x:c>
      <x:c r="H24" s="77" t="n">
        <x:v>0</x:v>
      </x:c>
      <x:c r="I24" s="77" t="n">
        <x:v>0</x:v>
      </x:c>
      <x:c r="J24" s="77" t="n">
        <x:v>47.13</x:v>
      </x:c>
      <x:c r="K24" s="77" t="str">
        <x:v>N/A</x:v>
      </x:c>
      <x:c r="L24" s="77" t="str">
        <x:v>Full Quartus compile completed</x:v>
      </x:c>
    </x:row>
  </x:sheetData>
  <x:mergeCells>
    <x:mergeCell ref="A1:L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75" hidden="0" customWidth="1"/>
    <x:col min="3" max="3" width="18.75" hidden="0" customWidth="1"/>
    <x:col min="4" max="4" width="23.75" hidden="0" customWidth="1"/>
    <x:col min="5" max="5" width="9.380000114440918" hidden="0" customWidth="1"/>
    <x:col min="6" max="6" width="11.25" hidden="0" customWidth="1"/>
    <x:col min="7" max="7" width="37.5" hidden="0" customWidth="1"/>
  </x:cols>
  <x:sheetData>
    <x:row r="1" ht="25.5" customHeight="1">
      <x:c r="A1" s="69" t="str">
        <x:v>ModelSim Source Regression Matrix</x:v>
      </x:c>
      <x:c r="B1" s="69" t="str">
        <x:v>ModelSim Source Regression Matrix</x:v>
      </x:c>
      <x:c r="C1" s="69" t="str">
        <x:v>ModelSim Source Regression Matrix</x:v>
      </x:c>
      <x:c r="D1" s="69" t="str">
        <x:v>ModelSim Source Regression Matrix</x:v>
      </x:c>
      <x:c r="E1" s="69" t="str">
        <x:v>ModelSim Source Regression Matrix</x:v>
      </x:c>
      <x:c r="F1" s="69" t="str">
        <x:v>ModelSim Source Regression Matrix</x:v>
      </x:c>
      <x:c r="G1" s="69" t="str">
        <x:v>ModelSim Source Regression Matrix</x:v>
      </x:c>
      <x:c r="H1" s="62"/>
    </x:row>
    <x:row r="2" ht="18" customHeight="1">
      <x:c r="A2" s="72" t="str">
        <x:v>Functional source simulation status across all variants and widths</x:v>
      </x:c>
      <x:c r="B2" s="72" t="str">
        <x:v>Functional source simulation status across all variants and widths</x:v>
      </x:c>
      <x:c r="C2" s="72" t="str">
        <x:v>Functional source simulation status across all variants and widths</x:v>
      </x:c>
      <x:c r="D2" s="72" t="str">
        <x:v>Functional source simulation status across all variants and widths</x:v>
      </x:c>
      <x:c r="E2" s="72" t="str">
        <x:v>Functional source simulation status across all variants and widths</x:v>
      </x:c>
      <x:c r="F2" s="72" t="str">
        <x:v>Functional source simulation status across all variants and widths</x:v>
      </x:c>
      <x:c r="G2" s="72" t="str">
        <x:v>Functional source simulation status across all variants and widths</x:v>
      </x:c>
      <x:c r="H2" s="72" t="str">
        <x:v>Functional source simulation status across all variants and widths</x:v>
      </x:c>
    </x:row>
    <x:row r="3">
      <x:c r="A3" s="62"/>
      <x:c r="B3" s="62"/>
      <x:c r="C3" s="62"/>
      <x:c r="D3" s="62"/>
      <x:c r="E3" s="62"/>
      <x:c r="F3" s="62"/>
      <x:c r="G3" s="62"/>
      <x:c r="H3" s="62"/>
    </x:row>
    <x:row r="4">
      <x:c r="A4" s="74" t="str">
        <x:v>Width</x:v>
      </x:c>
      <x:c r="B4" s="74" t="str">
        <x:v>Variant</x:v>
      </x:c>
      <x:c r="C4" s="74" t="str">
        <x:v>Testbench</x:v>
      </x:c>
      <x:c r="D4" s="74" t="str">
        <x:v>Vector File</x:v>
      </x:c>
      <x:c r="E4" s="74" t="str">
        <x:v>Tests</x:v>
      </x:c>
      <x:c r="F4" s="74" t="str">
        <x:v>Result</x:v>
      </x:c>
      <x:c r="G4" s="74" t="str">
        <x:v>Scope</x:v>
      </x:c>
      <x:c r="H4" s="62"/>
    </x:row>
    <x:row r="5">
      <x:c r="A5" s="77" t="n">
        <x:v>8</x:v>
      </x:c>
      <x:c r="B5" s="77" t="str">
        <x:v>Baseline</x:v>
      </x:c>
      <x:c r="C5" s="77" t="str">
        <x:v>ExecUnit_tb_8.vhd</x:v>
      </x:c>
      <x:c r="D5" s="77" t="str">
        <x:v>Simulation/ExecUnit_8.tvs</x:v>
      </x:c>
      <x:c r="E5" s="77" t="n">
        <x:v>102</x:v>
      </x:c>
      <x:c r="F5" s="77" t="str">
        <x:v>PASS</x:v>
      </x:c>
      <x:c r="G5" s="77" t="str">
        <x:v>Y, Zero, AltB, AltBu checked against vectors</x:v>
      </x:c>
      <x:c r="H5" s="62"/>
    </x:row>
    <x:row r="6">
      <x:c r="A6" s="77" t="n">
        <x:v>8</x:v>
      </x:c>
      <x:c r="B6" s="77" t="str">
        <x:v>BKA_BRL</x:v>
      </x:c>
      <x:c r="C6" s="77" t="str">
        <x:v>ExecUnit_tb_8.vhd</x:v>
      </x:c>
      <x:c r="D6" s="77" t="str">
        <x:v>Simulation/ExecUnit_8.tvs</x:v>
      </x:c>
      <x:c r="E6" s="77" t="n">
        <x:v>102</x:v>
      </x:c>
      <x:c r="F6" s="77" t="str">
        <x:v>PASS</x:v>
      </x:c>
      <x:c r="G6" s="77" t="str">
        <x:v>Y, Zero, AltB, AltBu checked against vectors</x:v>
      </x:c>
      <x:c r="H6" s="62"/>
    </x:row>
    <x:row r="7">
      <x:c r="A7" s="77" t="n">
        <x:v>8</x:v>
      </x:c>
      <x:c r="B7" s="77" t="str">
        <x:v>BKA_SFT</x:v>
      </x:c>
      <x:c r="C7" s="77" t="str">
        <x:v>ExecUnit_tb_8.vhd</x:v>
      </x:c>
      <x:c r="D7" s="77" t="str">
        <x:v>Simulation/ExecUnit_8.tvs</x:v>
      </x:c>
      <x:c r="E7" s="77" t="n">
        <x:v>102</x:v>
      </x:c>
      <x:c r="F7" s="77" t="str">
        <x:v>PASS</x:v>
      </x:c>
      <x:c r="G7" s="77" t="str">
        <x:v>Y, Zero, AltB, AltBu checked against vectors</x:v>
      </x:c>
      <x:c r="H7" s="62"/>
    </x:row>
    <x:row r="8">
      <x:c r="A8" s="77" t="n">
        <x:v>8</x:v>
      </x:c>
      <x:c r="B8" s="77" t="str">
        <x:v>CSA_BRL</x:v>
      </x:c>
      <x:c r="C8" s="77" t="str">
        <x:v>ExecUnit_tb_8.vhd</x:v>
      </x:c>
      <x:c r="D8" s="77" t="str">
        <x:v>Simulation/ExecUnit_8.tvs</x:v>
      </x:c>
      <x:c r="E8" s="77" t="n">
        <x:v>102</x:v>
      </x:c>
      <x:c r="F8" s="77" t="str">
        <x:v>PASS</x:v>
      </x:c>
      <x:c r="G8" s="77" t="str">
        <x:v>Y, Zero, AltB, AltBu checked against vectors</x:v>
      </x:c>
      <x:c r="H8" s="62"/>
    </x:row>
    <x:row r="9">
      <x:c r="A9" s="77" t="n">
        <x:v>8</x:v>
      </x:c>
      <x:c r="B9" s="77" t="str">
        <x:v>CSA_SFT</x:v>
      </x:c>
      <x:c r="C9" s="77" t="str">
        <x:v>ExecUnit_tb_8.vhd</x:v>
      </x:c>
      <x:c r="D9" s="77" t="str">
        <x:v>Simulation/ExecUnit_8.tvs</x:v>
      </x:c>
      <x:c r="E9" s="77" t="n">
        <x:v>102</x:v>
      </x:c>
      <x:c r="F9" s="77" t="str">
        <x:v>PASS</x:v>
      </x:c>
      <x:c r="G9" s="77" t="str">
        <x:v>Y, Zero, AltB, AltBu checked against vectors</x:v>
      </x:c>
      <x:c r="H9" s="62"/>
    </x:row>
    <x:row r="10">
      <x:c r="A10" s="77" t="n">
        <x:v>16</x:v>
      </x:c>
      <x:c r="B10" s="77" t="str">
        <x:v>Baseline</x:v>
      </x:c>
      <x:c r="C10" s="77" t="str">
        <x:v>ExecUnit_tb_16.vhd</x:v>
      </x:c>
      <x:c r="D10" s="77" t="str">
        <x:v>Simulation/ExecUnit_16.tvs</x:v>
      </x:c>
      <x:c r="E10" s="77" t="n">
        <x:v>102</x:v>
      </x:c>
      <x:c r="F10" s="77" t="str">
        <x:v>PASS</x:v>
      </x:c>
      <x:c r="G10" s="77" t="str">
        <x:v>Y, Zero, AltB, AltBu checked against vectors</x:v>
      </x:c>
      <x:c r="H10" s="62"/>
    </x:row>
    <x:row r="11">
      <x:c r="A11" s="77" t="n">
        <x:v>16</x:v>
      </x:c>
      <x:c r="B11" s="77" t="str">
        <x:v>BKA_BRL</x:v>
      </x:c>
      <x:c r="C11" s="77" t="str">
        <x:v>ExecUnit_tb_16.vhd</x:v>
      </x:c>
      <x:c r="D11" s="77" t="str">
        <x:v>Simulation/ExecUnit_16.tvs</x:v>
      </x:c>
      <x:c r="E11" s="77" t="n">
        <x:v>102</x:v>
      </x:c>
      <x:c r="F11" s="77" t="str">
        <x:v>PASS</x:v>
      </x:c>
      <x:c r="G11" s="77" t="str">
        <x:v>Y, Zero, AltB, AltBu checked against vectors</x:v>
      </x:c>
      <x:c r="H11" s="62"/>
    </x:row>
    <x:row r="12">
      <x:c r="A12" s="77" t="n">
        <x:v>16</x:v>
      </x:c>
      <x:c r="B12" s="77" t="str">
        <x:v>BKA_SFT</x:v>
      </x:c>
      <x:c r="C12" s="77" t="str">
        <x:v>ExecUnit_tb_16.vhd</x:v>
      </x:c>
      <x:c r="D12" s="77" t="str">
        <x:v>Simulation/ExecUnit_16.tvs</x:v>
      </x:c>
      <x:c r="E12" s="77" t="n">
        <x:v>102</x:v>
      </x:c>
      <x:c r="F12" s="77" t="str">
        <x:v>PASS</x:v>
      </x:c>
      <x:c r="G12" s="77" t="str">
        <x:v>Y, Zero, AltB, AltBu checked against vectors</x:v>
      </x:c>
      <x:c r="H12" s="62"/>
    </x:row>
    <x:row r="13">
      <x:c r="A13" s="77" t="n">
        <x:v>16</x:v>
      </x:c>
      <x:c r="B13" s="77" t="str">
        <x:v>CSA_BRL</x:v>
      </x:c>
      <x:c r="C13" s="77" t="str">
        <x:v>ExecUnit_tb_16.vhd</x:v>
      </x:c>
      <x:c r="D13" s="77" t="str">
        <x:v>Simulation/ExecUnit_16.tvs</x:v>
      </x:c>
      <x:c r="E13" s="77" t="n">
        <x:v>102</x:v>
      </x:c>
      <x:c r="F13" s="77" t="str">
        <x:v>PASS</x:v>
      </x:c>
      <x:c r="G13" s="77" t="str">
        <x:v>Y, Zero, AltB, AltBu checked against vectors</x:v>
      </x:c>
      <x:c r="H13" s="62"/>
    </x:row>
    <x:row r="14">
      <x:c r="A14" s="77" t="n">
        <x:v>16</x:v>
      </x:c>
      <x:c r="B14" s="77" t="str">
        <x:v>CSA_SFT</x:v>
      </x:c>
      <x:c r="C14" s="77" t="str">
        <x:v>ExecUnit_tb_16.vhd</x:v>
      </x:c>
      <x:c r="D14" s="77" t="str">
        <x:v>Simulation/ExecUnit_16.tvs</x:v>
      </x:c>
      <x:c r="E14" s="77" t="n">
        <x:v>102</x:v>
      </x:c>
      <x:c r="F14" s="77" t="str">
        <x:v>PASS</x:v>
      </x:c>
      <x:c r="G14" s="77" t="str">
        <x:v>Y, Zero, AltB, AltBu checked against vectors</x:v>
      </x:c>
      <x:c r="H14" s="62"/>
    </x:row>
    <x:row r="15">
      <x:c r="A15" s="77" t="n">
        <x:v>32</x:v>
      </x:c>
      <x:c r="B15" s="77" t="str">
        <x:v>Baseline</x:v>
      </x:c>
      <x:c r="C15" s="77" t="str">
        <x:v>ExecUnit_tb_32.vhd</x:v>
      </x:c>
      <x:c r="D15" s="77" t="str">
        <x:v>Simulation/ExecUnit_32.tvs</x:v>
      </x:c>
      <x:c r="E15" s="77" t="n">
        <x:v>102</x:v>
      </x:c>
      <x:c r="F15" s="77" t="str">
        <x:v>PASS</x:v>
      </x:c>
      <x:c r="G15" s="77" t="str">
        <x:v>Y, Zero, AltB, AltBu checked against vectors</x:v>
      </x:c>
      <x:c r="H15" s="62"/>
    </x:row>
    <x:row r="16">
      <x:c r="A16" s="77" t="n">
        <x:v>32</x:v>
      </x:c>
      <x:c r="B16" s="77" t="str">
        <x:v>BKA_BRL</x:v>
      </x:c>
      <x:c r="C16" s="77" t="str">
        <x:v>ExecUnit_tb_32.vhd</x:v>
      </x:c>
      <x:c r="D16" s="77" t="str">
        <x:v>Simulation/ExecUnit_32.tvs</x:v>
      </x:c>
      <x:c r="E16" s="77" t="n">
        <x:v>102</x:v>
      </x:c>
      <x:c r="F16" s="77" t="str">
        <x:v>PASS</x:v>
      </x:c>
      <x:c r="G16" s="77" t="str">
        <x:v>Y, Zero, AltB, AltBu checked against vectors</x:v>
      </x:c>
      <x:c r="H16" s="62"/>
    </x:row>
    <x:row r="17">
      <x:c r="A17" s="77" t="n">
        <x:v>32</x:v>
      </x:c>
      <x:c r="B17" s="77" t="str">
        <x:v>BKA_SFT</x:v>
      </x:c>
      <x:c r="C17" s="77" t="str">
        <x:v>ExecUnit_tb_32.vhd</x:v>
      </x:c>
      <x:c r="D17" s="77" t="str">
        <x:v>Simulation/ExecUnit_32.tvs</x:v>
      </x:c>
      <x:c r="E17" s="77" t="n">
        <x:v>102</x:v>
      </x:c>
      <x:c r="F17" s="77" t="str">
        <x:v>PASS</x:v>
      </x:c>
      <x:c r="G17" s="77" t="str">
        <x:v>Y, Zero, AltB, AltBu checked against vectors</x:v>
      </x:c>
      <x:c r="H17" s="62"/>
    </x:row>
    <x:row r="18">
      <x:c r="A18" s="77" t="n">
        <x:v>32</x:v>
      </x:c>
      <x:c r="B18" s="77" t="str">
        <x:v>CSA_BRL</x:v>
      </x:c>
      <x:c r="C18" s="77" t="str">
        <x:v>ExecUnit_tb_32.vhd</x:v>
      </x:c>
      <x:c r="D18" s="77" t="str">
        <x:v>Simulation/ExecUnit_32.tvs</x:v>
      </x:c>
      <x:c r="E18" s="77" t="n">
        <x:v>102</x:v>
      </x:c>
      <x:c r="F18" s="77" t="str">
        <x:v>PASS</x:v>
      </x:c>
      <x:c r="G18" s="77" t="str">
        <x:v>Y, Zero, AltB, AltBu checked against vectors</x:v>
      </x:c>
      <x:c r="H18" s="62"/>
    </x:row>
    <x:row r="19">
      <x:c r="A19" s="77" t="n">
        <x:v>32</x:v>
      </x:c>
      <x:c r="B19" s="77" t="str">
        <x:v>CSA_SFT</x:v>
      </x:c>
      <x:c r="C19" s="77" t="str">
        <x:v>ExecUnit_tb_32.vhd</x:v>
      </x:c>
      <x:c r="D19" s="77" t="str">
        <x:v>Simulation/ExecUnit_32.tvs</x:v>
      </x:c>
      <x:c r="E19" s="77" t="n">
        <x:v>102</x:v>
      </x:c>
      <x:c r="F19" s="77" t="str">
        <x:v>PASS</x:v>
      </x:c>
      <x:c r="G19" s="77" t="str">
        <x:v>Y, Zero, AltB, AltBu checked against vectors</x:v>
      </x:c>
      <x:c r="H19" s="62"/>
    </x:row>
    <x:row r="20">
      <x:c r="A20" s="77" t="n">
        <x:v>64</x:v>
      </x:c>
      <x:c r="B20" s="77" t="str">
        <x:v>Baseline</x:v>
      </x:c>
      <x:c r="C20" s="77" t="str">
        <x:v>ExecUnit_tb.vhd</x:v>
      </x:c>
      <x:c r="D20" s="77" t="str">
        <x:v>Simulation/ExecUnit.tvs</x:v>
      </x:c>
      <x:c r="E20" s="77" t="n">
        <x:v>102</x:v>
      </x:c>
      <x:c r="F20" s="77" t="str">
        <x:v>PASS</x:v>
      </x:c>
      <x:c r="G20" s="77" t="str">
        <x:v>Y, Zero, AltB, AltBu checked against vectors</x:v>
      </x:c>
      <x:c r="H20" s="62"/>
    </x:row>
    <x:row r="21">
      <x:c r="A21" s="77" t="n">
        <x:v>64</x:v>
      </x:c>
      <x:c r="B21" s="77" t="str">
        <x:v>BKA_BRL</x:v>
      </x:c>
      <x:c r="C21" s="77" t="str">
        <x:v>ExecUnit_tb.vhd</x:v>
      </x:c>
      <x:c r="D21" s="77" t="str">
        <x:v>Simulation/ExecUnit.tvs</x:v>
      </x:c>
      <x:c r="E21" s="77" t="n">
        <x:v>102</x:v>
      </x:c>
      <x:c r="F21" s="77" t="str">
        <x:v>PASS</x:v>
      </x:c>
      <x:c r="G21" s="77" t="str">
        <x:v>Y, Zero, AltB, AltBu checked against vectors</x:v>
      </x:c>
      <x:c r="H21" s="62"/>
    </x:row>
    <x:row r="22">
      <x:c r="A22" s="77" t="n">
        <x:v>64</x:v>
      </x:c>
      <x:c r="B22" s="77" t="str">
        <x:v>BKA_SFT</x:v>
      </x:c>
      <x:c r="C22" s="77" t="str">
        <x:v>ExecUnit_tb.vhd</x:v>
      </x:c>
      <x:c r="D22" s="77" t="str">
        <x:v>Simulation/ExecUnit.tvs</x:v>
      </x:c>
      <x:c r="E22" s="77" t="n">
        <x:v>102</x:v>
      </x:c>
      <x:c r="F22" s="77" t="str">
        <x:v>PASS</x:v>
      </x:c>
      <x:c r="G22" s="77" t="str">
        <x:v>Y, Zero, AltB, AltBu checked against vectors</x:v>
      </x:c>
      <x:c r="H22" s="62"/>
    </x:row>
    <x:row r="23">
      <x:c r="A23" s="77" t="n">
        <x:v>64</x:v>
      </x:c>
      <x:c r="B23" s="77" t="str">
        <x:v>CSA_BRL</x:v>
      </x:c>
      <x:c r="C23" s="77" t="str">
        <x:v>ExecUnit_tb.vhd</x:v>
      </x:c>
      <x:c r="D23" s="77" t="str">
        <x:v>Simulation/ExecUnit.tvs</x:v>
      </x:c>
      <x:c r="E23" s="77" t="n">
        <x:v>102</x:v>
      </x:c>
      <x:c r="F23" s="77" t="str">
        <x:v>PASS</x:v>
      </x:c>
      <x:c r="G23" s="77" t="str">
        <x:v>Y, Zero, AltB, AltBu checked against vectors</x:v>
      </x:c>
      <x:c r="H23" s="62"/>
    </x:row>
    <x:row r="24">
      <x:c r="A24" s="77" t="n">
        <x:v>64</x:v>
      </x:c>
      <x:c r="B24" s="77" t="str">
        <x:v>CSA_SFT</x:v>
      </x:c>
      <x:c r="C24" s="77" t="str">
        <x:v>ExecUnit_tb.vhd</x:v>
      </x:c>
      <x:c r="D24" s="77" t="str">
        <x:v>Simulation/ExecUnit.tvs</x:v>
      </x:c>
      <x:c r="E24" s="77" t="n">
        <x:v>102</x:v>
      </x:c>
      <x:c r="F24" s="77" t="str">
        <x:v>PASS</x:v>
      </x:c>
      <x:c r="G24" s="77" t="str">
        <x:v>Y, Zero, AltB, AltBu checked against vectors</x:v>
      </x:c>
      <x:c r="H24" s="62"/>
    </x:row>
  </x:sheetData>
  <x:mergeCells>
    <x:mergeCell ref="A1:G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3.75" hidden="0" customWidth="1"/>
    <x:col min="8" max="8" width="16.8799991607666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</x:cols>
  <x:sheetData>
    <x:row r="1" ht="25.5" customHeight="1">
      <x:c r="A1" s="69" t="str">
        <x:v>Resource Summary</x:v>
      </x:c>
      <x:c r="B1" s="69" t="str">
        <x:v>Resource Summary</x:v>
      </x:c>
      <x:c r="C1" s="69" t="str">
        <x:v>Resource Summary</x:v>
      </x:c>
      <x:c r="D1" s="69" t="str">
        <x:v>Resource Summary</x:v>
      </x:c>
      <x:c r="E1" s="69" t="str">
        <x:v>Resource Summary</x:v>
      </x:c>
      <x:c r="F1" s="69" t="str">
        <x:v>Resource Summary</x:v>
      </x:c>
      <x:c r="G1" s="69" t="str">
        <x:v>Resource Summary</x:v>
      </x:c>
      <x:c r="H1" s="69" t="str">
        <x:v>Resource Summary</x:v>
      </x:c>
      <x:c r="I1" s="69" t="str">
        <x:v>Resource Summary</x:v>
      </x:c>
      <x:c r="J1" s="69" t="str">
        <x:v>Resource Summary</x:v>
      </x:c>
    </x:row>
    <x:row r="2" ht="18" customHeight="1">
      <x:c r="A2" s="72" t="str">
        <x:v>Logic element trends and area overhead relative to Baseline</x:v>
      </x:c>
      <x:c r="B2" s="72" t="str">
        <x:v>Logic element trends and area overhead relative to Baseline</x:v>
      </x:c>
      <x:c r="C2" s="72" t="str">
        <x:v>Logic element trends and area overhead relative to Baseline</x:v>
      </x:c>
      <x:c r="D2" s="72" t="str">
        <x:v>Logic element trends and area overhead relative to Baseline</x:v>
      </x:c>
      <x:c r="E2" s="72" t="str">
        <x:v>Logic element trends and area overhead relative to Baseline</x:v>
      </x:c>
      <x:c r="F2" s="72" t="str">
        <x:v>Logic element trends and area overhead relative to Baseline</x:v>
      </x:c>
      <x:c r="G2" s="72" t="str">
        <x:v>Logic element trends and area overhead relative to Baseline</x:v>
      </x:c>
      <x:c r="H2" s="72" t="str">
        <x:v>Logic element trends and area overhead relative to Baseline</x:v>
      </x:c>
      <x:c r="I2" s="62"/>
      <x:c r="J2" s="62"/>
    </x:row>
    <x:row r="3">
      <x:c r="A3" s="62"/>
      <x:c r="B3" s="62"/>
      <x:c r="C3" s="62"/>
      <x:c r="D3" s="62"/>
      <x:c r="E3" s="62"/>
      <x:c r="F3" s="62"/>
      <x:c r="G3" s="62"/>
      <x:c r="H3" s="62"/>
      <x:c r="I3" s="62"/>
      <x:c r="J3" s="62"/>
    </x:row>
    <x:row r="4">
      <x:c r="A4" s="74" t="str">
        <x:v>Width</x:v>
      </x:c>
      <x:c r="B4" s="74" t="str">
        <x:v>Baseline</x:v>
      </x:c>
      <x:c r="C4" s="74" t="str">
        <x:v>BKA_BRL</x:v>
      </x:c>
      <x:c r="D4" s="74" t="str">
        <x:v>BKA_SFT</x:v>
      </x:c>
      <x:c r="E4" s="74" t="str">
        <x:v>CSA_BRL</x:v>
      </x:c>
      <x:c r="F4" s="74" t="str">
        <x:v>CSA_SFT</x:v>
      </x:c>
      <x:c r="G4" s="62"/>
      <x:c r="H4" s="74" t="str">
        <x:v>Width</x:v>
      </x:c>
      <x:c r="I4" s="74" t="str">
        <x:v>Best Area</x:v>
      </x:c>
      <x:c r="J4" s="74" t="str">
        <x:v>LE Count</x:v>
      </x:c>
    </x:row>
    <x:row r="5">
      <x:c r="A5" s="77" t="n">
        <x:v>8</x:v>
      </x:c>
      <x:c r="B5" s="77" t="n">
        <x:v>140</x:v>
      </x:c>
      <x:c r="C5" s="77" t="n">
        <x:v>143</x:v>
      </x:c>
      <x:c r="D5" s="77" t="n">
        <x:v>149</x:v>
      </x:c>
      <x:c r="E5" s="77" t="n">
        <x:v>144</x:v>
      </x:c>
      <x:c r="F5" s="77" t="n">
        <x:v>153</x:v>
      </x:c>
      <x:c r="G5" s="62"/>
      <x:c r="H5" s="77" t="n">
        <x:v>8</x:v>
      </x:c>
      <x:c r="I5" s="77" t="str">
        <x:v>Baseline</x:v>
      </x:c>
      <x:c r="J5" s="77" t="n">
        <x:v>140</x:v>
      </x:c>
    </x:row>
    <x:row r="6">
      <x:c r="A6" s="77" t="n">
        <x:v>16</x:v>
      </x:c>
      <x:c r="B6" s="77" t="n">
        <x:v>311</x:v>
      </x:c>
      <x:c r="C6" s="77" t="n">
        <x:v>328</x:v>
      </x:c>
      <x:c r="D6" s="77" t="n">
        <x:v>344</x:v>
      </x:c>
      <x:c r="E6" s="77" t="n">
        <x:v>313</x:v>
      </x:c>
      <x:c r="F6" s="77" t="n">
        <x:v>334</x:v>
      </x:c>
      <x:c r="G6" s="62"/>
      <x:c r="H6" s="77" t="n">
        <x:v>16</x:v>
      </x:c>
      <x:c r="I6" s="77" t="str">
        <x:v>Baseline</x:v>
      </x:c>
      <x:c r="J6" s="77" t="n">
        <x:v>311</x:v>
      </x:c>
    </x:row>
    <x:row r="7">
      <x:c r="A7" s="77" t="n">
        <x:v>32</x:v>
      </x:c>
      <x:c r="B7" s="77" t="n">
        <x:v>654</x:v>
      </x:c>
      <x:c r="C7" s="77" t="n">
        <x:v>757</x:v>
      </x:c>
      <x:c r="D7" s="77" t="n">
        <x:v>726</x:v>
      </x:c>
      <x:c r="E7" s="77" t="n">
        <x:v>722</x:v>
      </x:c>
      <x:c r="F7" s="77" t="n">
        <x:v>696</x:v>
      </x:c>
      <x:c r="G7" s="62"/>
      <x:c r="H7" s="77" t="n">
        <x:v>32</x:v>
      </x:c>
      <x:c r="I7" s="77" t="str">
        <x:v>Baseline</x:v>
      </x:c>
      <x:c r="J7" s="77" t="n">
        <x:v>654</x:v>
      </x:c>
    </x:row>
    <x:row r="8">
      <x:c r="A8" s="77" t="n">
        <x:v>64</x:v>
      </x:c>
      <x:c r="B8" s="77" t="n">
        <x:v>1408</x:v>
      </x:c>
      <x:c r="C8" s="77" t="n">
        <x:v>1663</x:v>
      </x:c>
      <x:c r="D8" s="77" t="n">
        <x:v>1584</x:v>
      </x:c>
      <x:c r="E8" s="77" t="n">
        <x:v>1592</x:v>
      </x:c>
      <x:c r="F8" s="77" t="n">
        <x:v>1486</x:v>
      </x:c>
      <x:c r="G8" s="62"/>
      <x:c r="H8" s="77" t="n">
        <x:v>64</x:v>
      </x:c>
      <x:c r="I8" s="77" t="str">
        <x:v>Baseline</x:v>
      </x:c>
      <x:c r="J8" s="77" t="n">
        <x:v>1408</x:v>
      </x:c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</x:row>
    <x:row r="11">
      <x:c r="A11" s="74" t="str">
        <x:v>Width</x:v>
      </x:c>
      <x:c r="B11" s="74" t="str">
        <x:v>Baseline vs Base</x:v>
      </x:c>
      <x:c r="C11" s="74" t="str">
        <x:v>BKA_BRL vs Base</x:v>
      </x:c>
      <x:c r="D11" s="74" t="str">
        <x:v>BKA_SFT vs Base</x:v>
      </x:c>
      <x:c r="E11" s="74" t="str">
        <x:v>CSA_BRL vs Base</x:v>
      </x:c>
      <x:c r="F11" s="74" t="str">
        <x:v>CSA_SFT vs Base</x:v>
      </x:c>
      <x:c r="G11" s="62"/>
      <x:c r="H11" s="62"/>
      <x:c r="I11" s="62"/>
      <x:c r="J11" s="62"/>
    </x:row>
    <x:row r="12">
      <x:c r="A12" s="77" t="n">
        <x:v>8</x:v>
      </x:c>
      <x:c r="B12" s="88" t="n">
        <x:v>0</x:v>
      </x:c>
      <x:c r="C12" s="88" t="n">
        <x:v>0.021428571428571352</x:v>
      </x:c>
      <x:c r="D12" s="88" t="n">
        <x:v>0.06428571428571428</x:v>
      </x:c>
      <x:c r="E12" s="88" t="n">
        <x:v>0.02857142857142847</x:v>
      </x:c>
      <x:c r="F12" s="88" t="n">
        <x:v>0.09285714285714275</x:v>
      </x:c>
      <x:c r="G12" s="62"/>
      <x:c r="H12" s="62"/>
      <x:c r="I12" s="62"/>
      <x:c r="J12" s="62"/>
    </x:row>
    <x:row r="13">
      <x:c r="A13" s="77" t="n">
        <x:v>16</x:v>
      </x:c>
      <x:c r="B13" s="88" t="n">
        <x:v>0</x:v>
      </x:c>
      <x:c r="C13" s="88" t="n">
        <x:v>0.05466237942122176</x:v>
      </x:c>
      <x:c r="D13" s="88" t="n">
        <x:v>0.1061093247588425</x:v>
      </x:c>
      <x:c r="E13" s="88" t="n">
        <x:v>0.006430868167202508</x:v>
      </x:c>
      <x:c r="F13" s="88" t="n">
        <x:v>0.07395498392282951</x:v>
      </x:c>
      <x:c r="G13" s="62"/>
      <x:c r="H13" s="62"/>
      <x:c r="I13" s="62"/>
      <x:c r="J13" s="62"/>
    </x:row>
    <x:row r="14">
      <x:c r="A14" s="77" t="n">
        <x:v>32</x:v>
      </x:c>
      <x:c r="B14" s="88" t="n">
        <x:v>0</x:v>
      </x:c>
      <x:c r="C14" s="88" t="n">
        <x:v>0.15749235474006107</x:v>
      </x:c>
      <x:c r="D14" s="88" t="n">
        <x:v>0.11009174311926606</x:v>
      </x:c>
      <x:c r="E14" s="88" t="n">
        <x:v>0.10397553516819569</x:v>
      </x:c>
      <x:c r="F14" s="88" t="n">
        <x:v>0.06422018348623859</x:v>
      </x:c>
      <x:c r="G14" s="62"/>
      <x:c r="H14" s="62"/>
      <x:c r="I14" s="62"/>
      <x:c r="J14" s="62"/>
    </x:row>
    <x:row r="15">
      <x:c r="A15" s="77" t="n">
        <x:v>64</x:v>
      </x:c>
      <x:c r="B15" s="88" t="n">
        <x:v>0</x:v>
      </x:c>
      <x:c r="C15" s="88" t="n">
        <x:v>0.18110795454545459</x:v>
      </x:c>
      <x:c r="D15" s="88" t="n">
        <x:v>0.125</x:v>
      </x:c>
      <x:c r="E15" s="88" t="n">
        <x:v>0.13068181818181812</x:v>
      </x:c>
      <x:c r="F15" s="88" t="n">
        <x:v>0.05539772727272729</x:v>
      </x:c>
      <x:c r="G15" s="62"/>
      <x:c r="H15" s="62"/>
      <x:c r="I15" s="62"/>
      <x:c r="J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</x:row>
    <x:row r="18">
      <x:c r="A18" s="74" t="str">
        <x:v>Chart Data</x:v>
      </x:c>
      <x:c r="B18" s="74" t="str">
        <x:v>Baseline</x:v>
      </x:c>
      <x:c r="C18" s="74" t="str">
        <x:v>BKA_BRL</x:v>
      </x:c>
      <x:c r="D18" s="74" t="str">
        <x:v>BKA_SFT</x:v>
      </x:c>
      <x:c r="E18" s="74" t="str">
        <x:v>CSA_BRL</x:v>
      </x:c>
      <x:c r="F18" s="74" t="str">
        <x:v>CSA_SFT</x:v>
      </x:c>
      <x:c r="G18" s="62"/>
      <x:c r="H18" s="62"/>
      <x:c r="I18" s="62"/>
      <x:c r="J18" s="62"/>
    </x:row>
    <x:row r="19">
      <x:c r="A19" s="77" t="n">
        <x:f>A5</x:f>
        <x:v>8</x:v>
      </x:c>
      <x:c r="B19" s="77" t="n">
        <x:f>B5</x:f>
        <x:v>140</x:v>
      </x:c>
      <x:c r="C19" s="77" t="n">
        <x:f>C5</x:f>
        <x:v>143</x:v>
      </x:c>
      <x:c r="D19" s="77" t="n">
        <x:f>D5</x:f>
        <x:v>149</x:v>
      </x:c>
      <x:c r="E19" s="77" t="n">
        <x:f>E5</x:f>
        <x:v>144</x:v>
      </x:c>
      <x:c r="F19" s="77" t="n">
        <x:f>F5</x:f>
        <x:v>153</x:v>
      </x:c>
      <x:c r="G19" s="62"/>
      <x:c r="H19" s="62"/>
      <x:c r="I19" s="62"/>
      <x:c r="J19" s="62"/>
    </x:row>
    <x:row r="20">
      <x:c r="A20" s="77" t="n">
        <x:f>A6</x:f>
        <x:v>16</x:v>
      </x:c>
      <x:c r="B20" s="77" t="n">
        <x:f>B6</x:f>
        <x:v>311</x:v>
      </x:c>
      <x:c r="C20" s="77" t="n">
        <x:f>C6</x:f>
        <x:v>328</x:v>
      </x:c>
      <x:c r="D20" s="77" t="n">
        <x:f>D6</x:f>
        <x:v>344</x:v>
      </x:c>
      <x:c r="E20" s="77" t="n">
        <x:f>E6</x:f>
        <x:v>313</x:v>
      </x:c>
      <x:c r="F20" s="77" t="n">
        <x:f>F6</x:f>
        <x:v>334</x:v>
      </x:c>
      <x:c r="G20" s="62"/>
      <x:c r="H20" s="62"/>
      <x:c r="I20" s="62"/>
      <x:c r="J20" s="62"/>
    </x:row>
    <x:row r="21">
      <x:c r="A21" s="77" t="n">
        <x:f>A7</x:f>
        <x:v>32</x:v>
      </x:c>
      <x:c r="B21" s="77" t="n">
        <x:f>B7</x:f>
        <x:v>654</x:v>
      </x:c>
      <x:c r="C21" s="77" t="n">
        <x:f>C7</x:f>
        <x:v>757</x:v>
      </x:c>
      <x:c r="D21" s="77" t="n">
        <x:f>D7</x:f>
        <x:v>726</x:v>
      </x:c>
      <x:c r="E21" s="77" t="n">
        <x:f>E7</x:f>
        <x:v>722</x:v>
      </x:c>
      <x:c r="F21" s="77" t="n">
        <x:f>F7</x:f>
        <x:v>696</x:v>
      </x:c>
      <x:c r="G21" s="62"/>
      <x:c r="H21" s="62"/>
      <x:c r="I21" s="62"/>
      <x:c r="J21" s="62"/>
    </x:row>
    <x:row r="22">
      <x:c r="A22" s="77" t="n">
        <x:f>A8</x:f>
        <x:v>64</x:v>
      </x:c>
      <x:c r="B22" s="77" t="n">
        <x:f>B8</x:f>
        <x:v>1408</x:v>
      </x:c>
      <x:c r="C22" s="77" t="n">
        <x:f>C8</x:f>
        <x:v>1663</x:v>
      </x:c>
      <x:c r="D22" s="77" t="n">
        <x:f>D8</x:f>
        <x:v>1584</x:v>
      </x:c>
      <x:c r="E22" s="77" t="n">
        <x:f>E8</x:f>
        <x:v>1592</x:v>
      </x:c>
      <x:c r="F22" s="77" t="n">
        <x:f>F8</x:f>
        <x:v>1486</x:v>
      </x:c>
      <x:c r="G22" s="62"/>
      <x:c r="H22" s="62"/>
      <x:c r="I22" s="62"/>
      <x:c r="J22" s="62"/>
    </x:row>
  </x:sheetData>
  <x:mergeCells>
    <x:mergeCell ref="A1:J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57.5" hidden="0" customWidth="1"/>
    <x:col min="5" max="5" width="13.130000114440918" hidden="0" customWidth="1"/>
    <x:col min="6" max="6" width="13.130000114440918" hidden="0" customWidth="1"/>
  </x:cols>
  <x:sheetData>
    <x:row r="1" ht="25.5" customHeight="1">
      <x:c r="A1" s="69" t="str">
        <x:v>Variant Guide</x:v>
      </x:c>
      <x:c r="B1" s="69" t="str">
        <x:v>Variant Guide</x:v>
      </x:c>
      <x:c r="C1" s="69" t="str">
        <x:v>Variant Guide</x:v>
      </x:c>
      <x:c r="D1" s="69" t="str">
        <x:v>Variant Guide</x:v>
      </x:c>
      <x:c r="E1" s="69" t="str">
        <x:v>Variant Guide</x:v>
      </x:c>
      <x:c r="F1" s="69" t="str">
        <x:v>Variant Guide</x:v>
      </x:c>
      <x:c r="G1" s="62"/>
      <x:c r="H1" s="62"/>
    </x:row>
    <x:row r="2" ht="18" customHeight="1">
      <x:c r="A2" s="72" t="str">
        <x:v>Architecture combinations and recommended positioning</x:v>
      </x:c>
      <x:c r="B2" s="72" t="str">
        <x:v>Architecture combinations and recommended positioning</x:v>
      </x:c>
      <x:c r="C2" s="72" t="str">
        <x:v>Architecture combinations and recommended positioning</x:v>
      </x:c>
      <x:c r="D2" s="72" t="str">
        <x:v>Architecture combinations and recommended positioning</x:v>
      </x:c>
      <x:c r="E2" s="72" t="str">
        <x:v>Architecture combinations and recommended positioning</x:v>
      </x:c>
      <x:c r="F2" s="72" t="str">
        <x:v>Architecture combinations and recommended positioning</x:v>
      </x:c>
      <x:c r="G2" s="72" t="str">
        <x:v>Architecture combinations and recommended positioning</x:v>
      </x:c>
      <x:c r="H2" s="72" t="str">
        <x:v>Architecture combinations and recommended positioning</x:v>
      </x:c>
    </x:row>
    <x:row r="3">
      <x:c r="A3" s="62"/>
      <x:c r="B3" s="62"/>
      <x:c r="C3" s="62"/>
      <x:c r="D3" s="62"/>
      <x:c r="E3" s="62"/>
      <x:c r="F3" s="62"/>
      <x:c r="G3" s="62"/>
      <x:c r="H3" s="62"/>
    </x:row>
    <x:row r="4">
      <x:c r="A4" s="74" t="str">
        <x:v>Variant</x:v>
      </x:c>
      <x:c r="B4" s="74" t="str">
        <x:v>Arithmetic Unit</x:v>
      </x:c>
      <x:c r="C4" s="74" t="str">
        <x:v>Shift Unit</x:v>
      </x:c>
      <x:c r="D4" s="74" t="str">
        <x:v>Description</x:v>
      </x:c>
      <x:c r="E4" s="74" t="str">
        <x:v>8-bit LEs</x:v>
      </x:c>
      <x:c r="F4" s="74" t="str">
        <x:v>64-bit LEs</x:v>
      </x:c>
      <x:c r="G4" s="62"/>
      <x:c r="H4" s="62"/>
    </x:row>
    <x:row r="5">
      <x:c r="A5" s="77" t="str">
        <x:v>Baseline</x:v>
      </x:c>
      <x:c r="B5" s="77" t="str">
        <x:v>Ripple-carry</x:v>
      </x:c>
      <x:c r="C5" s="77" t="str">
        <x:v>Functional shift</x:v>
      </x:c>
      <x:c r="D5" s="77" t="str">
        <x:v>Smallest and simplest baseline architecture.</x:v>
      </x:c>
      <x:c r="E5" s="77" t="n">
        <x:v>140</x:v>
      </x:c>
      <x:c r="F5" s="77" t="n">
        <x:v>1408</x:v>
      </x:c>
      <x:c r="G5" s="62"/>
      <x:c r="H5" s="62"/>
    </x:row>
    <x:row r="6">
      <x:c r="A6" s="77" t="str">
        <x:v>BKA_BRL</x:v>
      </x:c>
      <x:c r="B6" s="77" t="str">
        <x:v>Brent-Kung</x:v>
      </x:c>
      <x:c r="C6" s="77" t="str">
        <x:v>Barrel shifter</x:v>
      </x:c>
      <x:c r="D6" s="77" t="str">
        <x:v>Parallel-prefix adder with explicit barrel shift path.</x:v>
      </x:c>
      <x:c r="E6" s="77" t="n">
        <x:v>143</x:v>
      </x:c>
      <x:c r="F6" s="77" t="n">
        <x:v>1663</x:v>
      </x:c>
      <x:c r="G6" s="62"/>
      <x:c r="H6" s="62"/>
    </x:row>
    <x:row r="7">
      <x:c r="A7" s="77" t="str">
        <x:v>BKA_SFT</x:v>
      </x:c>
      <x:c r="B7" s="77" t="str">
        <x:v>Brent-Kung</x:v>
      </x:c>
      <x:c r="C7" s="77" t="str">
        <x:v>Functional shift</x:v>
      </x:c>
      <x:c r="D7" s="77" t="str">
        <x:v>Parallel-prefix adder with compact functional shifter.</x:v>
      </x:c>
      <x:c r="E7" s="77" t="n">
        <x:v>149</x:v>
      </x:c>
      <x:c r="F7" s="77" t="n">
        <x:v>1584</x:v>
      </x:c>
      <x:c r="G7" s="62"/>
      <x:c r="H7" s="62"/>
    </x:row>
    <x:row r="8">
      <x:c r="A8" s="77" t="str">
        <x:v>CSA_BRL</x:v>
      </x:c>
      <x:c r="B8" s="77" t="str">
        <x:v>Conditional-sum</x:v>
      </x:c>
      <x:c r="C8" s="77" t="str">
        <x:v>Barrel shifter</x:v>
      </x:c>
      <x:c r="D8" s="77" t="str">
        <x:v>Conditional-sum adder with explicit barrel shift path.</x:v>
      </x:c>
      <x:c r="E8" s="77" t="n">
        <x:v>144</x:v>
      </x:c>
      <x:c r="F8" s="77" t="n">
        <x:v>1592</x:v>
      </x:c>
      <x:c r="G8" s="62"/>
      <x:c r="H8" s="62"/>
    </x:row>
    <x:row r="9">
      <x:c r="A9" s="77" t="str">
        <x:v>CSA_SFT</x:v>
      </x:c>
      <x:c r="B9" s="77" t="str">
        <x:v>Conditional-sum</x:v>
      </x:c>
      <x:c r="C9" s="77" t="str">
        <x:v>Functional shift</x:v>
      </x:c>
      <x:c r="D9" s="77" t="str">
        <x:v>Conditional-sum adder with compact functional shifter.</x:v>
      </x:c>
      <x:c r="E9" s="77" t="n">
        <x:v>153</x:v>
      </x:c>
      <x:c r="F9" s="77" t="n">
        <x:v>1486</x:v>
      </x:c>
      <x:c r="G9" s="62"/>
      <x:c r="H9" s="62"/>
    </x:row>
    <x:row r="10">
      <x:c r="A10" s="64"/>
      <x:c r="B10" s="64"/>
      <x:c r="C10" s="64"/>
      <x:c r="D10" s="64"/>
      <x:c r="E10" s="64"/>
      <x:c r="F10" s="64"/>
      <x:c r="G10" s="62"/>
      <x:c r="H10" s="62"/>
    </x:row>
    <x:row r="11">
      <x:c r="A11" s="64"/>
      <x:c r="B11" s="64"/>
      <x:c r="C11" s="64"/>
      <x:c r="D11" s="64"/>
      <x:c r="E11" s="64"/>
      <x:c r="F11" s="64"/>
      <x:c r="G11" s="62"/>
      <x:c r="H11" s="62"/>
    </x:row>
    <x:row r="12">
      <x:c r="A12" s="84" t="str">
        <x:v>Portfolio Takeaway</x:v>
      </x:c>
      <x:c r="B12" s="84" t="str">
        <x:v>Value</x:v>
      </x:c>
      <x:c r="C12" s="84" t="str">
        <x:v>Evidence</x:v>
      </x:c>
      <x:c r="D12" s="64"/>
      <x:c r="E12" s="64"/>
      <x:c r="F12" s="64"/>
      <x:c r="G12" s="62"/>
      <x:c r="H12" s="62"/>
    </x:row>
    <x:row r="13">
      <x:c r="A13" s="77" t="str">
        <x:v>Area minimum</x:v>
      </x:c>
      <x:c r="B13" s="77" t="str">
        <x:v>Baseline</x:v>
      </x:c>
      <x:c r="C13" s="77" t="str">
        <x:v>Lowest LE count at every tested width</x:v>
      </x:c>
      <x:c r="D13" s="64"/>
      <x:c r="E13" s="64"/>
      <x:c r="F13" s="64"/>
      <x:c r="G13" s="62"/>
      <x:c r="H13" s="62"/>
    </x:row>
    <x:row r="14">
      <x:c r="A14" s="77" t="str">
        <x:v>Best 64-bit non-baseline area</x:v>
      </x:c>
      <x:c r="B14" s="77" t="str">
        <x:v>CSA_SFT</x:v>
      </x:c>
      <x:c r="C14" s="77" t="str">
        <x:v>1486 LEs at N=64</x:v>
      </x:c>
      <x:c r="D14" s="64"/>
      <x:c r="E14" s="64"/>
      <x:c r="F14" s="64"/>
      <x:c r="G14" s="62"/>
      <x:c r="H14" s="62"/>
    </x:row>
    <x:row r="15">
      <x:c r="A15" s="77" t="str">
        <x:v>Most feature-rich shift path</x:v>
      </x:c>
      <x:c r="B15" s="77" t="str">
        <x:v>BKA_BRL / CSA_BRL</x:v>
      </x:c>
      <x:c r="C15" s="77" t="str">
        <x:v>Barrel shifter variant available for both adder families</x:v>
      </x:c>
      <x:c r="D15" s="64"/>
      <x:c r="E15" s="64"/>
      <x:c r="F15" s="64"/>
      <x:c r="G15" s="62"/>
      <x:c r="H15" s="62"/>
    </x:row>
    <x:row r="16">
      <x:c r="A16" s="77" t="str">
        <x:v>No inferred memories/DSPs</x:v>
      </x:c>
      <x:c r="B16" s="77" t="str">
        <x:v>0 memory bits, 0 DSP elements</x:v>
      </x:c>
      <x:c r="C16" s="77" t="str">
        <x:v>All tested combinations compile as combinational logic</x:v>
      </x:c>
      <x:c r="D16" s="64"/>
      <x:c r="E16" s="64"/>
      <x:c r="F16" s="64"/>
      <x:c r="G16" s="62"/>
      <x:c r="H16" s="62"/>
    </x:row>
    <x:row r="17">
      <x:c r="A17" s="77" t="str">
        <x:v>Functional status</x:v>
      </x:c>
      <x:c r="B17" s="77" t="str">
        <x:v>All PASS</x:v>
      </x:c>
      <x:c r="C17" s="77" t="str">
        <x:v>20 source-level ModelSim cases passed</x:v>
      </x:c>
      <x:c r="D17" s="64"/>
      <x:c r="E17" s="64"/>
      <x:c r="F17" s="64"/>
      <x:c r="G17" s="62"/>
      <x:c r="H17" s="62"/>
    </x:row>
  </x:sheetData>
  <x:mergeCells>
    <x:mergeCell ref="A1:F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5" hidden="0" customWidth="1"/>
    <x:col min="3" max="3" width="48.75" hidden="0" customWidth="1"/>
    <x:col min="4" max="4" width="31.25" hidden="0" customWidth="1"/>
  </x:cols>
  <x:sheetData>
    <x:row r="1" ht="25.5" customHeight="1">
      <x:c r="A1" s="69" t="str">
        <x:v>Timing and Interpretation Notes</x:v>
      </x:c>
      <x:c r="B1" s="69" t="str">
        <x:v>Timing and Interpretation Notes</x:v>
      </x:c>
      <x:c r="C1" s="69" t="str">
        <x:v>Timing and Interpretation Notes</x:v>
      </x:c>
      <x:c r="D1" s="69" t="str">
        <x:v>Timing and Interpretation Notes</x:v>
      </x:c>
      <x:c r="E1" s="62"/>
      <x:c r="F1" s="62"/>
      <x:c r="G1" s="62"/>
      <x:c r="H1" s="62"/>
    </x:row>
    <x:row r="2" ht="18" customHeight="1">
      <x:c r="A2" s="72" t="str">
        <x:v>What the fresh Quartus reports do and do not prove</x:v>
      </x:c>
      <x:c r="B2" s="72" t="str">
        <x:v>What the fresh Quartus reports do and do not prove</x:v>
      </x:c>
      <x:c r="C2" s="72" t="str">
        <x:v>What the fresh Quartus reports do and do not prove</x:v>
      </x:c>
      <x:c r="D2" s="72" t="str">
        <x:v>What the fresh Quartus reports do and do not prove</x:v>
      </x:c>
      <x:c r="E2" s="72" t="str">
        <x:v>What the fresh Quartus reports do and do not prove</x:v>
      </x:c>
      <x:c r="F2" s="72" t="str">
        <x:v>What the fresh Quartus reports do and do not prove</x:v>
      </x:c>
      <x:c r="G2" s="72" t="str">
        <x:v>What the fresh Quartus reports do and do not prove</x:v>
      </x:c>
      <x:c r="H2" s="72" t="str">
        <x:v>What the fresh Quartus reports do and do not prove</x:v>
      </x:c>
    </x:row>
    <x:row r="3">
      <x:c r="A3" s="62"/>
      <x:c r="B3" s="62"/>
      <x:c r="C3" s="62"/>
      <x:c r="D3" s="62"/>
      <x:c r="E3" s="62"/>
      <x:c r="F3" s="62"/>
      <x:c r="G3" s="62"/>
      <x:c r="H3" s="62"/>
    </x:row>
    <x:row r="4">
      <x:c r="A4" s="74" t="str">
        <x:v>Topic</x:v>
      </x:c>
      <x:c r="B4" s="74" t="str">
        <x:v>Current Finding</x:v>
      </x:c>
      <x:c r="C4" s="74" t="str">
        <x:v>Interpretation</x:v>
      </x:c>
      <x:c r="D4" s="74" t="str">
        <x:v>Next Step</x:v>
      </x:c>
      <x:c r="E4" s="62"/>
      <x:c r="F4" s="62"/>
      <x:c r="G4" s="62"/>
      <x:c r="H4" s="62"/>
    </x:row>
    <x:row r="5">
      <x:c r="A5" s="77" t="str">
        <x:v>Clocked Fmax</x:v>
      </x:c>
      <x:c r="B5" s="77" t="str">
        <x:v>N/A in fresh STA summaries</x:v>
      </x:c>
      <x:c r="C5" s="77" t="str">
        <x:v>The execution unit has no clocked registers, so Quartus does not produce a meaningful register-to-register Fmax.</x:v>
      </x:c>
      <x:c r="D5" s="77" t="str">
        <x:v>Add wrapper registers and clock constraints for a comparable Fmax study.</x:v>
      </x:c>
      <x:c r="E5" s="62"/>
      <x:c r="F5" s="62"/>
      <x:c r="G5" s="62"/>
      <x:c r="H5" s="62"/>
    </x:row>
    <x:row r="6">
      <x:c r="A6" s="77" t="str">
        <x:v>Functional simulation</x:v>
      </x:c>
      <x:c r="B6" s="77" t="str">
        <x:v>PASS for all tested combinations</x:v>
      </x:c>
      <x:c r="C6" s="77" t="str">
        <x:v>Source behavior matches deterministic vectors across widths and variants.</x:v>
      </x:c>
      <x:c r="D6" s="77" t="str">
        <x:v>Extend with randomized/generated vectors for broader coverage.</x:v>
      </x:c>
      <x:c r="E6" s="62"/>
      <x:c r="F6" s="62"/>
      <x:c r="G6" s="62"/>
      <x:c r="H6" s="62"/>
    </x:row>
    <x:row r="7">
      <x:c r="A7" s="77" t="str">
        <x:v>Full compile</x:v>
      </x:c>
      <x:c r="B7" s="77" t="str">
        <x:v>PASS for all 20 combinations</x:v>
      </x:c>
      <x:c r="C7" s="77" t="str">
        <x:v>Every architecture/width maps, fits, assembles, and runs STA successfully.</x:v>
      </x:c>
      <x:c r="D7" s="77" t="str">
        <x:v>Keep compile scripts for reproducibility.</x:v>
      </x:c>
      <x:c r="E7" s="62"/>
      <x:c r="F7" s="62"/>
      <x:c r="G7" s="62"/>
      <x:c r="H7" s="62"/>
    </x:row>
    <x:row r="8">
      <x:c r="A8" s="77" t="str">
        <x:v>Registers</x:v>
      </x:c>
      <x:c r="B8" s="77" t="str">
        <x:v>0 for all combinations</x:v>
      </x:c>
      <x:c r="C8" s="77" t="str">
        <x:v>The core is combinational as designed.</x:v>
      </x:c>
      <x:c r="D8" s="77" t="str">
        <x:v>Pipeline only if targeting higher clock rates.</x:v>
      </x:c>
      <x:c r="E8" s="62"/>
      <x:c r="F8" s="62"/>
      <x:c r="G8" s="62"/>
      <x:c r="H8" s="62"/>
    </x:row>
    <x:row r="9">
      <x:c r="A9" s="77" t="str">
        <x:v>DSP and memory usage</x:v>
      </x:c>
      <x:c r="B9" s="77" t="str">
        <x:v>0 for all combinations</x:v>
      </x:c>
      <x:c r="C9" s="77" t="str">
        <x:v>All operations map to logic elements for this target.</x:v>
      </x:c>
      <x:c r="D9" s="77" t="str">
        <x:v>Expected for this integer execution-unit datapath.</x:v>
      </x:c>
      <x:c r="E9" s="62"/>
      <x:c r="F9" s="62"/>
      <x:c r="G9" s="62"/>
      <x:c r="H9" s="62"/>
    </x:row>
    <x:row r="10">
      <x:c r="A10" s="77" t="str">
        <x:v>Historical Markdown timing</x:v>
      </x:c>
      <x:c r="B10" s="77" t="str">
        <x:v>Removed from repo after workbook capture</x:v>
      </x:c>
      <x:c r="C10" s="77" t="str">
        <x:v>Old post-fit timing notes were not treated as fresh measurements after RTL cleanup.</x:v>
      </x:c>
      <x:c r="D10" s="77" t="str">
        <x:v>Regenerate timing on registered wrapper if portfolio needs clock numbers.</x:v>
      </x:c>
      <x:c r="E10" s="62"/>
      <x:c r="F10" s="62"/>
      <x:c r="G10" s="62"/>
      <x:c r="H10" s="62"/>
    </x:row>
  </x:sheetData>
  <x:mergeCells>
    <x:mergeCell ref="A1:D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10" hidden="0" customWidth="1"/>
    <x:col min="3" max="3" width="10" hidden="0" customWidth="1"/>
    <x:col min="4" max="4" width="43.75" hidden="0" customWidth="1"/>
  </x:cols>
  <x:sheetData>
    <x:row r="1" ht="25.5" customHeight="1">
      <x:c r="A1" s="69" t="str">
        <x:v>Source Inventory</x:v>
      </x:c>
      <x:c r="B1" s="69" t="str">
        <x:v>Source Inventory</x:v>
      </x:c>
      <x:c r="C1" s="69" t="str">
        <x:v>Source Inventory</x:v>
      </x:c>
      <x:c r="D1" s="69" t="str">
        <x:v>Source Inventory</x:v>
      </x:c>
      <x:c r="E1" s="62"/>
      <x:c r="F1" s="62"/>
      <x:c r="G1" s="62"/>
      <x:c r="H1" s="62"/>
    </x:row>
    <x:row r="2" ht="18" customHeight="1">
      <x:c r="A2" s="72" t="str">
        <x:v>Portfolio source files retained after cleanup</x:v>
      </x:c>
      <x:c r="B2" s="72" t="str">
        <x:v>Portfolio source files retained after cleanup</x:v>
      </x:c>
      <x:c r="C2" s="72" t="str">
        <x:v>Portfolio source files retained after cleanup</x:v>
      </x:c>
      <x:c r="D2" s="72" t="str">
        <x:v>Portfolio source files retained after cleanup</x:v>
      </x:c>
      <x:c r="E2" s="72" t="str">
        <x:v>Portfolio source files retained after cleanup</x:v>
      </x:c>
      <x:c r="F2" s="72" t="str">
        <x:v>Portfolio source files retained after cleanup</x:v>
      </x:c>
      <x:c r="G2" s="72" t="str">
        <x:v>Portfolio source files retained after cleanup</x:v>
      </x:c>
      <x:c r="H2" s="72" t="str">
        <x:v>Portfolio source files retained after cleanup</x:v>
      </x:c>
    </x:row>
    <x:row r="3">
      <x:c r="A3" s="62"/>
      <x:c r="B3" s="62"/>
      <x:c r="C3" s="62"/>
      <x:c r="D3" s="62"/>
      <x:c r="E3" s="62"/>
      <x:c r="F3" s="62"/>
      <x:c r="G3" s="62"/>
      <x:c r="H3" s="62"/>
    </x:row>
    <x:row r="4">
      <x:c r="A4" s="74" t="str">
        <x:v>File</x:v>
      </x:c>
      <x:c r="B4" s="74" t="str">
        <x:v>Lines</x:v>
      </x:c>
      <x:c r="C4" s="74" t="str">
        <x:v>Bytes</x:v>
      </x:c>
      <x:c r="D4" s="74" t="str">
        <x:v>Role</x:v>
      </x:c>
      <x:c r="E4" s="62"/>
      <x:c r="F4" s="62"/>
      <x:c r="G4" s="62"/>
      <x:c r="H4" s="62"/>
    </x:row>
    <x:row r="5">
      <x:c r="A5" s="77" t="str">
        <x:v>SourceCode/ArithmeticArchitecture.vhdl</x:v>
      </x:c>
      <x:c r="B5" s="77" t="n">
        <x:v>288</x:v>
      </x:c>
      <x:c r="C5" s="77" t="n">
        <x:v>9625</x:v>
      </x:c>
      <x:c r="D5" s="77" t="str">
        <x:v>Architecture implementation</x:v>
      </x:c>
      <x:c r="E5" s="62"/>
      <x:c r="F5" s="62"/>
      <x:c r="G5" s="62"/>
      <x:c r="H5" s="62"/>
    </x:row>
    <x:row r="6">
      <x:c r="A6" s="77" t="str">
        <x:v>SourceCode/ArithmeticUnit.vhdl</x:v>
      </x:c>
      <x:c r="B6" s="77" t="n">
        <x:v>19</x:v>
      </x:c>
      <x:c r="C6" s="77" t="n">
        <x:v>559</x:v>
      </x:c>
      <x:c r="D6" s="77" t="str">
        <x:v>Entity/interface definition</x:v>
      </x:c>
      <x:c r="E6" s="62"/>
      <x:c r="F6" s="62"/>
      <x:c r="G6" s="62"/>
      <x:c r="H6" s="62"/>
    </x:row>
    <x:row r="7">
      <x:c r="A7" s="77" t="str">
        <x:v>SourceCode/ExecUnit.vhdl</x:v>
      </x:c>
      <x:c r="B7" s="77" t="n">
        <x:v>20</x:v>
      </x:c>
      <x:c r="C7" s="77" t="n">
        <x:v>670</x:v>
      </x:c>
      <x:c r="D7" s="77" t="str">
        <x:v>Entity/interface definition</x:v>
      </x:c>
      <x:c r="E7" s="62"/>
      <x:c r="F7" s="62"/>
      <x:c r="G7" s="62"/>
      <x:c r="H7" s="62"/>
    </x:row>
    <x:row r="8">
      <x:c r="A8" s="77" t="str">
        <x:v>SourceCode/ExecUnit_BKA_BRL.vhdl</x:v>
      </x:c>
      <x:c r="B8" s="77" t="n">
        <x:v>60</x:v>
      </x:c>
      <x:c r="C8" s="77" t="n">
        <x:v>1773</x:v>
      </x:c>
      <x:c r="D8" s="77" t="str">
        <x:v>Top-level architecture binding</x:v>
      </x:c>
      <x:c r="E8" s="62"/>
      <x:c r="F8" s="62"/>
      <x:c r="G8" s="62"/>
      <x:c r="H8" s="62"/>
    </x:row>
    <x:row r="9">
      <x:c r="A9" s="77" t="str">
        <x:v>SourceCode/ExecUnit_BKA_SFT.vhdl</x:v>
      </x:c>
      <x:c r="B9" s="77" t="n">
        <x:v>60</x:v>
      </x:c>
      <x:c r="C9" s="77" t="n">
        <x:v>1708</x:v>
      </x:c>
      <x:c r="D9" s="77" t="str">
        <x:v>Top-level architecture binding</x:v>
      </x:c>
      <x:c r="E9" s="62"/>
      <x:c r="F9" s="62"/>
      <x:c r="G9" s="62"/>
      <x:c r="H9" s="62"/>
    </x:row>
    <x:row r="10">
      <x:c r="A10" s="77" t="str">
        <x:v>SourceCode/ExecUnit_Baseline.vhdl</x:v>
      </x:c>
      <x:c r="B10" s="77" t="n">
        <x:v>60</x:v>
      </x:c>
      <x:c r="C10" s="77" t="n">
        <x:v>1708</x:v>
      </x:c>
      <x:c r="D10" s="77" t="str">
        <x:v>Top-level architecture binding</x:v>
      </x:c>
      <x:c r="E10" s="62"/>
      <x:c r="F10" s="62"/>
      <x:c r="G10" s="62"/>
      <x:c r="H10" s="62"/>
    </x:row>
    <x:row r="11">
      <x:c r="A11" s="77" t="str">
        <x:v>SourceCode/ExecUnit_CSA_BRL.vhdl</x:v>
      </x:c>
      <x:c r="B11" s="77" t="n">
        <x:v>60</x:v>
      </x:c>
      <x:c r="C11" s="77" t="n">
        <x:v>1713</x:v>
      </x:c>
      <x:c r="D11" s="77" t="str">
        <x:v>Top-level architecture binding</x:v>
      </x:c>
      <x:c r="E11" s="62"/>
      <x:c r="F11" s="62"/>
      <x:c r="G11" s="62"/>
      <x:c r="H11" s="62"/>
    </x:row>
    <x:row r="12">
      <x:c r="A12" s="77" t="str">
        <x:v>SourceCode/ExecUnit_CSA_SFT.vhdl</x:v>
      </x:c>
      <x:c r="B12" s="77" t="n">
        <x:v>60</x:v>
      </x:c>
      <x:c r="C12" s="77" t="n">
        <x:v>1713</x:v>
      </x:c>
      <x:c r="D12" s="77" t="str">
        <x:v>Top-level architecture binding</x:v>
      </x:c>
      <x:c r="E12" s="62"/>
      <x:c r="F12" s="62"/>
      <x:c r="G12" s="62"/>
      <x:c r="H12" s="62"/>
    </x:row>
    <x:row r="13">
      <x:c r="A13" s="77" t="str">
        <x:v>SourceCode/LogicArchitecture.vhdl</x:v>
      </x:c>
      <x:c r="B13" s="77" t="n">
        <x:v>17</x:v>
      </x:c>
      <x:c r="C13" s="77" t="n">
        <x:v>413</x:v>
      </x:c>
      <x:c r="D13" s="77" t="str">
        <x:v>Architecture implementation</x:v>
      </x:c>
      <x:c r="E13" s="62"/>
      <x:c r="F13" s="62"/>
      <x:c r="G13" s="62"/>
      <x:c r="H13" s="62"/>
    </x:row>
    <x:row r="14">
      <x:c r="A14" s="77" t="str">
        <x:v>SourceCode/LogicUnit.vhdl</x:v>
      </x:c>
      <x:c r="B14" s="77" t="n">
        <x:v>13</x:v>
      </x:c>
      <x:c r="C14" s="77" t="n">
        <x:v>364</x:v>
      </x:c>
      <x:c r="D14" s="77" t="str">
        <x:v>Entity/interface definition</x:v>
      </x:c>
      <x:c r="E14" s="62"/>
      <x:c r="F14" s="62"/>
      <x:c r="G14" s="62"/>
      <x:c r="H14" s="62"/>
    </x:row>
    <x:row r="15">
      <x:c r="A15" s="77" t="str">
        <x:v>SourceCode/ShiftArchitecture.vhdl</x:v>
      </x:c>
      <x:c r="B15" s="77" t="n">
        <x:v>125</x:v>
      </x:c>
      <x:c r="C15" s="77" t="n">
        <x:v>4944</x:v>
      </x:c>
      <x:c r="D15" s="77" t="str">
        <x:v>Architecture implementation</x:v>
      </x:c>
      <x:c r="E15" s="62"/>
      <x:c r="F15" s="62"/>
      <x:c r="G15" s="62"/>
      <x:c r="H15" s="62"/>
    </x:row>
    <x:row r="16">
      <x:c r="A16" s="77" t="str">
        <x:v>SourceCode/ShiftUnit.vhdl</x:v>
      </x:c>
      <x:c r="B16" s="77" t="n">
        <x:v>14</x:v>
      </x:c>
      <x:c r="C16" s="77" t="n">
        <x:v>398</x:v>
      </x:c>
      <x:c r="D16" s="77" t="str">
        <x:v>Entity/interface definition</x:v>
      </x:c>
      <x:c r="E16" s="62"/>
      <x:c r="F16" s="62"/>
      <x:c r="G16" s="62"/>
      <x:c r="H16" s="62"/>
    </x:row>
  </x:sheetData>
  <x:mergeCells>
    <x:mergeCell ref="A1:D1"/>
    <x:mergeCell ref="A2:H2"/>
  </x:mergeCells>
  <x:pageMargins left="0.7" right="0.7" top="0.75" bottom="0.75" header="0.3" footer="0.3"/>
</x:worksheet>
</file>